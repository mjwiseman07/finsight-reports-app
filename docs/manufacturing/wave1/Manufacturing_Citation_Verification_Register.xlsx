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Verification Register" sheetId="2" state="visible" r:id="rId4"/>
    <sheet name="Sub-Segment Matrix" sheetId="3" state="visible" r:id="rId5"/>
    <sheet name="Instructions" sheetId="4" state="visible" r:id="rId6"/>
  </sheets>
  <definedNames>
    <definedName function="false" hidden="true" localSheetId="1" name="_xlnm._FilterDatabase" vbProcedure="false">'Verification Register'!$B$6:$M$46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<sst xmlns="http://schemas.openxmlformats.org/spreadsheetml/2006/main" count="736" uniqueCount="402">
  <si>
    <t xml:space="preserve">DRAFT / SPEC ONLY — NOT EXECUTABLE — Composition-only verification register. No spine code, no D0 proof, no PC gates passed. Phase: Manufacturing Vertical Knowledge Stack — Wave 1 / MFG-K-E.</t>
  </si>
  <si>
    <t xml:space="preserve">Manufacturing Citation Verification Register</t>
  </si>
  <si>
    <t xml:space="preserve">Wave 1 — verification pass for MFG-K-A through MFG-K-D source documents. Generated June 22, 2026.</t>
  </si>
  <si>
    <t xml:space="preserve">Source Documents Covered</t>
  </si>
  <si>
    <t xml:space="preserve">Module</t>
  </si>
  <si>
    <t xml:space="preserve">Lines</t>
  </si>
  <si>
    <t xml:space="preserve">Document Path</t>
  </si>
  <si>
    <t xml:space="preserve">MFG-K-A — KPIs</t>
  </si>
  <si>
    <t xml:space="preserve">/home/user/workspace/Manufacturing_KPIs_Sources.md</t>
  </si>
  <si>
    <t xml:space="preserve">MFG-K-B — ASC 606</t>
  </si>
  <si>
    <t xml:space="preserve">/home/user/workspace/Manufacturing_ASC606_Sources.md</t>
  </si>
  <si>
    <t xml:space="preserve">MFG-K-C — Disclosures (ASC 330/842/Reg S-K)</t>
  </si>
  <si>
    <t xml:space="preserve">/home/user/workspace/Manufacturing_Disclosures_Sources.md</t>
  </si>
  <si>
    <t xml:space="preserve">MFG-K-C2 — IFRS Peer Doc</t>
  </si>
  <si>
    <t xml:space="preserve">/home/user/workspace/Manufacturing_IFRS_Sources.md</t>
  </si>
  <si>
    <t xml:space="preserve">MFG-K-D — Benchmarks</t>
  </si>
  <si>
    <t xml:space="preserve">/home/user/workspace/Manufacturing_Benchmarks_Sources.md</t>
  </si>
  <si>
    <t xml:space="preserve">Total</t>
  </si>
  <si>
    <t xml:space="preserve">Verification Status Legend</t>
  </si>
  <si>
    <t xml:space="preserve">Status</t>
  </si>
  <si>
    <t xml:space="preserve">Meaning</t>
  </si>
  <si>
    <t xml:space="preserve">VERIFIED</t>
  </si>
  <si>
    <t xml:space="preserve">Primary-source URL retrieved live; cited figure / definition / formula matches verbatim or within stated tolerance.</t>
  </si>
  <si>
    <t xml:space="preserve">PENDING</t>
  </si>
  <si>
    <t xml:space="preserve">Citation loaded into source doc but live primary fetch deferred (auth-walled, 403, or rate-limited).</t>
  </si>
  <si>
    <t xml:space="preserve">FLAG</t>
  </si>
  <si>
    <t xml:space="preserve">Discrepancy between loaded citation and primary source, OR primary URL could not be reached and no equivalent fallback was found.</t>
  </si>
  <si>
    <t xml:space="preserve">JUDGMENT (◑)</t>
  </si>
  <si>
    <t xml:space="preserve">Loaded as professional/industry convention without a single sole authoritative primary; founder-overridable at config time.</t>
  </si>
  <si>
    <t xml:space="preserve">Aggregate Verification Counts (live formulas → 'Verification Register')</t>
  </si>
  <si>
    <t xml:space="preserve">Count</t>
  </si>
  <si>
    <t xml:space="preserve">% of Total</t>
  </si>
  <si>
    <t xml:space="preserve">JUDGMENT</t>
  </si>
  <si>
    <t xml:space="preserve">Resolved Scoping (Q1–Q7) — binding across all modules</t>
  </si>
  <si>
    <t xml:space="preserve">Q</t>
  </si>
  <si>
    <t xml:space="preserve">Resolution</t>
  </si>
  <si>
    <t xml:space="preserve">Q1</t>
  </si>
  <si>
    <t xml:space="preserve">All 5 sub-types covered: D (Discrete) / P (Process) / H (Hybrid) / J (Job-Shop) / E (Engineer-to-Order)</t>
  </si>
  <si>
    <t xml:space="preserve">Q2</t>
  </si>
  <si>
    <t xml:space="preserve">Support all three standard-cost bases: budgeted / engineered / historical-rolling</t>
  </si>
  <si>
    <t xml:space="preserve">Q3</t>
  </si>
  <si>
    <t xml:space="preserve">Include LIFO at v1.0 (reserve disclosure, IRC §472 conformity, liquidation effects)</t>
  </si>
  <si>
    <t xml:space="preserve">Q4</t>
  </si>
  <si>
    <t xml:space="preserve">Progressive drill-down: shallow default, deeper on demand — every step spine-gated</t>
  </si>
  <si>
    <t xml:space="preserve">Q5</t>
  </si>
  <si>
    <t xml:space="preserve">Full IFRS authoring at v1.0 (IAS 2, IAS 16, IFRS 15, IFRS 16) — module MFG-K-C2</t>
  </si>
  <si>
    <t xml:space="preserve">Q6</t>
  </si>
  <si>
    <t xml:space="preserve">Forecast variances IN at v1.0; entry point MFG-K-G with MFG-FV-01..08 parallel block; field forecastInputSource: 'sop' | 'demand-forecast' | 'sales-pipeline'</t>
  </si>
  <si>
    <t xml:space="preserve">Q7</t>
  </si>
  <si>
    <t xml:space="preserve">Founder-set manual NAICS at onboarding; multi-entity wizard sub-flow; tenant→entity→NAICS one-to-many</t>
  </si>
  <si>
    <t xml:space="preserve">DRAFT / SPEC ONLY — NOT EXECUTABLE. Composition-only register. Verifier should retrieve each Source URL live, compare against Citation As Loaded, set Status, log Finding, sign with initials + date. FLAG/PENDING rows feed the founder-review queue.</t>
  </si>
  <si>
    <t xml:space="preserve">Manufacturing Citation Verification Register — Phase MFG-K-E</t>
  </si>
  <si>
    <t xml:space="preserve">Row</t>
  </si>
  <si>
    <t xml:space="preserve">ID</t>
  </si>
  <si>
    <t xml:space="preserve">Topic / Item</t>
  </si>
  <si>
    <t xml:space="preserve">Primary Source</t>
  </si>
  <si>
    <t xml:space="preserve">Citation As Loaded (figure / definition / formula)</t>
  </si>
  <si>
    <t xml:space="preserve">Sub-Seg D/P/H/J/E</t>
  </si>
  <si>
    <t xml:space="preserve">Finding / Correction (if discrepancy or pending)</t>
  </si>
  <si>
    <t xml:space="preserve">Priority</t>
  </si>
  <si>
    <t xml:space="preserve">Date Flagged</t>
  </si>
  <si>
    <t xml:space="preserve">Source URL</t>
  </si>
  <si>
    <t xml:space="preserve">MFG-K-A</t>
  </si>
  <si>
    <t xml:space="preserve">MFG-OPS-06</t>
  </si>
  <si>
    <t xml:space="preserve">MTBF (Mean Time Between Failures)</t>
  </si>
  <si>
    <t xml:space="preserve">ASQ</t>
  </si>
  <si>
    <t xml:space="preserve">Formula: total operating time ÷ number of failures. Loaded as universal reliability convention.</t>
  </si>
  <si>
    <t xml:space="preserve">D/P/H/J/E</t>
  </si>
  <si>
    <t xml:space="preserve">ASQ landing page cited; formula universally accepted but not printed verbatim at the URL. Cross-verify with ISO 14224 or IEEE 762.</t>
  </si>
  <si>
    <t xml:space="preserve">MEDIUM</t>
  </si>
  <si>
    <t xml:space="preserve">2026-06-22</t>
  </si>
  <si>
    <t xml:space="preserve">https://asq.org/quality-resources/reliability</t>
  </si>
  <si>
    <t xml:space="preserve">MFG-OPS-07</t>
  </si>
  <si>
    <t xml:space="preserve">MTTR (Mean Time To Repair)</t>
  </si>
  <si>
    <t xml:space="preserve">Formula: total repair time ÷ number of repairs. Loaded as universal maintainability convention.</t>
  </si>
  <si>
    <t xml:space="preserve">Same ASQ landing-page issue as MTBF. Companion metric — verify alongside.</t>
  </si>
  <si>
    <t xml:space="preserve">MFG-Q-08</t>
  </si>
  <si>
    <t xml:space="preserve">Cpk (Process Capability Index)</t>
  </si>
  <si>
    <t xml:space="preserve">Formula: min[(USL−μ)/3σ, (μ−LSL)/3σ]. Loaded with thresholds ≥1.33 capable, ≥1.67 world-class.</t>
  </si>
  <si>
    <t xml:space="preserve">Cpk formula universally accepted but not printed verbatim at ASQ URL. Thresholds (1.33, 1.67) are AIAG/ASQ industry convention.</t>
  </si>
  <si>
    <t xml:space="preserve">https://asq.org/quality-resources/process-capability</t>
  </si>
  <si>
    <t xml:space="preserve">MFG-OEE</t>
  </si>
  <si>
    <t xml:space="preserve">OEE world-class threshold = 85%</t>
  </si>
  <si>
    <t xml:space="preserve">Nakajima / JIPM / ASCM</t>
  </si>
  <si>
    <t xml:space="preserve">OEE = Availability × Performance × Quality. World-class 85%+, industry avg 60-65%.</t>
  </si>
  <si>
    <t xml:space="preserve">Nakajima 1988 threshold corroborated by ASCM and ASQ. Multiple cross-source confirmation.</t>
  </si>
  <si>
    <t xml:space="preserve">LOW</t>
  </si>
  <si>
    <t xml:space="preserve">https://www.ascm.org/learning-development/certifications-credentials/cpim/</t>
  </si>
  <si>
    <t xml:space="preserve">MFG-FORECAST</t>
  </si>
  <si>
    <t xml:space="preserve">ASCM MAPE benchmark: &lt;15% good, &lt;10% world-class (aggregate)</t>
  </si>
  <si>
    <t xml:space="preserve">ASCM/APICS</t>
  </si>
  <si>
    <t xml:space="preserve">Forecast accuracy MAPE percentile distributions used in MFG-FV-01..08 thresholds.</t>
  </si>
  <si>
    <t xml:space="preserve">ASCM full distribution behind subscription. Aggregate convention confirmed in public Body of Knowledge but exact percentile bands need member-portal verification.</t>
  </si>
  <si>
    <t xml:space="preserve">MFG-LEAD</t>
  </si>
  <si>
    <t xml:space="preserve">Takt time applicability for Process sub-segment</t>
  </si>
  <si>
    <t xml:space="preserve">ASCM / Lean Enterprise Institute</t>
  </si>
  <si>
    <t xml:space="preserve">Takt time defined for repetitive/discrete flow; ◑ for continuous-process where 'unit' is ambiguous (gallons/hour vs. units).</t>
  </si>
  <si>
    <t xml:space="preserve">P only</t>
  </si>
  <si>
    <t xml:space="preserve">Takt as classically defined fits D/H/J; P substitutes throughput rate. Founder-overridable.</t>
  </si>
  <si>
    <t xml:space="preserve">https://www.lean.org/lexicon-terms/takt-time/</t>
  </si>
  <si>
    <t xml:space="preserve">MFG-Q-REWORK</t>
  </si>
  <si>
    <t xml:space="preserve">Rework rate for Process sub-segment</t>
  </si>
  <si>
    <t xml:space="preserve">ASQ / IMA</t>
  </si>
  <si>
    <t xml:space="preserve">Rework as % of total production. Process plants often re-blend/re-process in-line; boundary fuzzy.</t>
  </si>
  <si>
    <t xml:space="preserve">Process sub-segment marked ◑ — in-line correction may not be tracked as discrete 'rework' event.</t>
  </si>
  <si>
    <t xml:space="preserve">https://asq.org/quality-resources/cost-of-quality</t>
  </si>
  <si>
    <t xml:space="preserve">MFG-BACKLOG</t>
  </si>
  <si>
    <t xml:space="preserve">Backlog applicability for Process sub-segment</t>
  </si>
  <si>
    <t xml:space="preserve">AICPA / IMA</t>
  </si>
  <si>
    <t xml:space="preserve">Backlog as forward-revenue indicator; classical for D/J/E.</t>
  </si>
  <si>
    <t xml:space="preserve">P=—</t>
  </si>
  <si>
    <t xml:space="preserve">Process plants typically sell from inventory or short forward orders; backlog reported only if material to operations.</t>
  </si>
  <si>
    <t xml:space="preserve">https://www.imanet.org/career-resources/management-accounting-competency-framework</t>
  </si>
  <si>
    <t xml:space="preserve">MFG-K-B</t>
  </si>
  <si>
    <t xml:space="preserve">ASC606-S5C3</t>
  </si>
  <si>
    <t xml:space="preserve">ASC 606 over-time recognition criterion 3 — Process sub-segment marked '—'</t>
  </si>
  <si>
    <t xml:space="preserve">FASB ASC 606 / Deloitte DART</t>
  </si>
  <si>
    <t xml:space="preserve">Process output frequently fungible / has alternative use → fails criterion 3 → defaults to point-in-time.</t>
  </si>
  <si>
    <t xml:space="preserve">P</t>
  </si>
  <si>
    <t xml:space="preserve">Subagent flagged: judgment that process output has alternative use is industry-typical but contract-specific. Founder + auditor must confirm per contract type.</t>
  </si>
  <si>
    <t xml:space="preserve">HIGH</t>
  </si>
  <si>
    <t xml:space="preserve">https://dart.deloitte.com/USDART/home/codification/revenue/asc606</t>
  </si>
  <si>
    <t xml:space="preserve">ASC606-SFC</t>
  </si>
  <si>
    <t xml:space="preserve">Significant financing component marked ✓ only for E (ETO)</t>
  </si>
  <si>
    <t xml:space="preserve">FASB ASC 606-10-32-15..20</t>
  </si>
  <si>
    <t xml:space="preserve">SFC mainly relevant where payment timing materially differs from performance — classic for ETO (long lead, milestone billing).</t>
  </si>
  <si>
    <t xml:space="preserve">E primary; D large custom</t>
  </si>
  <si>
    <t xml:space="preserve">Could also apply to large custom D programs (e.g., 24-month aerospace builds). Founder may flag at contract config.</t>
  </si>
  <si>
    <t xml:space="preserve">ASC606-BAH</t>
  </si>
  <si>
    <t xml:space="preserve">Bill-and-hold SEC release</t>
  </si>
  <si>
    <t xml:space="preserve">SEC AAER / SAB 101 / ASC 606-10-55-81..84</t>
  </si>
  <si>
    <t xml:space="preserve">Bill-and-hold criteria: substantive reason, separately identified, ready for shipment, no ability to direct to another customer.</t>
  </si>
  <si>
    <t xml:space="preserve">D/P/H/J/E (rare)</t>
  </si>
  <si>
    <t xml:space="preserve">SEC.gov bill-and-hold release returned 403 to automated fetch — needs manual verification of exact release text and current criteria.</t>
  </si>
  <si>
    <t xml:space="preserve">https://www.sec.gov/interps/account/sabcodet13.htm</t>
  </si>
  <si>
    <t xml:space="preserve">ASC606-S15</t>
  </si>
  <si>
    <t xml:space="preserve">5-step model implementation checklist</t>
  </si>
  <si>
    <t xml:space="preserve">FASB ASC 606 / Big 4 implementation guides</t>
  </si>
  <si>
    <t xml:space="preserve">Section 15 of MFG-K-B contains 5-step checklist.</t>
  </si>
  <si>
    <t xml:space="preserve">Cross-verified against Deloitte, KPMG, EY, PwC, RSM, Grant Thornton implementation guides.</t>
  </si>
  <si>
    <t xml:space="preserve">MFG-K-C</t>
  </si>
  <si>
    <t xml:space="preserve">ASC330-LIFO</t>
  </si>
  <si>
    <t xml:space="preserve">LIFO reserve disclosure requirement (ASC 330-10-50)</t>
  </si>
  <si>
    <t xml:space="preserve">FASB ASC 330-10-50 / IRC §472</t>
  </si>
  <si>
    <t xml:space="preserve">LIFO reserve = FIFO inventory − LIFO inventory; required disclosure; conformity rule per IRC §472(c).</t>
  </si>
  <si>
    <t xml:space="preserve">D/P/H/J (LIFO eligible)</t>
  </si>
  <si>
    <t xml:space="preserve">ASC 330-10-50-1 confirmed. IRC §472(c) conformity rule confirmed.</t>
  </si>
  <si>
    <t xml:space="preserve">https://www.law.cornell.edu/uscode/text/26/472</t>
  </si>
  <si>
    <t xml:space="preserve">ASC330-LIFOLIQ</t>
  </si>
  <si>
    <t xml:space="preserve">LIFO liquidation income effect disclosure</t>
  </si>
  <si>
    <t xml:space="preserve">FASB ASC 330-10-50-1 / SEC SAB Topic 5N</t>
  </si>
  <si>
    <t xml:space="preserve">When LIFO layers are liquidated, the income effect must be disclosed if material.</t>
  </si>
  <si>
    <t xml:space="preserve">D/P/H/J</t>
  </si>
  <si>
    <t xml:space="preserve">ASC 330-10-50-1 cross-referenced to SEC SAB Topic 5N.</t>
  </si>
  <si>
    <t xml:space="preserve">https://www.sec.gov/interps/account/sabcodet5.htm</t>
  </si>
  <si>
    <t xml:space="preserve">ASC842-LESSEE</t>
  </si>
  <si>
    <t xml:space="preserve">ASC 842 lessee model — single vs. dual classification</t>
  </si>
  <si>
    <t xml:space="preserve">FASB ASC 842</t>
  </si>
  <si>
    <t xml:space="preserve">US GAAP retains dual classification (finance vs. operating); IFRS 16 single model.</t>
  </si>
  <si>
    <t xml:space="preserve">ASC 842-10-25 confirmed. Cross-checked against IFRS 16 in MFG-K-C2.</t>
  </si>
  <si>
    <t xml:space="preserve">https://dart.deloitte.com/USDART/home/codification/leases/asc842</t>
  </si>
  <si>
    <t xml:space="preserve">REG-S-K-101</t>
  </si>
  <si>
    <t xml:space="preserve">Reg S-K Item 101 — description of business</t>
  </si>
  <si>
    <t xml:space="preserve">SEC Regulation S-K Item 101</t>
  </si>
  <si>
    <t xml:space="preserve">Sub-segment narrative disclosures.</t>
  </si>
  <si>
    <t xml:space="preserve">17 CFR 229.101 confirmed via ecfr.gov.</t>
  </si>
  <si>
    <t xml:space="preserve">https://www.ecfr.gov/current/title-17/chapter-II/part-229/subpart-229.100/section-229.101</t>
  </si>
  <si>
    <t xml:space="preserve">REG-S-K-105</t>
  </si>
  <si>
    <t xml:space="preserve">Reg S-K Item 105 — risk factors</t>
  </si>
  <si>
    <t xml:space="preserve">SEC Regulation S-K Item 105</t>
  </si>
  <si>
    <t xml:space="preserve">Manufacturing-specific risk factor template (supply chain, single-supplier, commodity exposure).</t>
  </si>
  <si>
    <t xml:space="preserve">17 CFR 229.105 confirmed.</t>
  </si>
  <si>
    <t xml:space="preserve">https://www.ecfr.gov/current/title-17/chapter-II/part-229/subpart-229.100/section-229.105</t>
  </si>
  <si>
    <t xml:space="preserve">SEC-CLIMATE</t>
  </si>
  <si>
    <t xml:space="preserve">SEC climate disclosure rule (Reg S-K 1500 series)</t>
  </si>
  <si>
    <t xml:space="preserve">SEC Final Rule 33-11275 / Reg S-K Subpart 1500</t>
  </si>
  <si>
    <t xml:space="preserve">Status as of session: rule finalized 2024, judicial stay in effect in some courts.</t>
  </si>
  <si>
    <t xml:space="preserve">Rule status fluid (stays/litigation). Re-verify effective dates and applicability before deploying disclosure templates.</t>
  </si>
  <si>
    <t xml:space="preserve">https://www.sec.gov/rules/final/2024/33-11275.pdf</t>
  </si>
  <si>
    <t xml:space="preserve">FASB-403</t>
  </si>
  <si>
    <t xml:space="preserve">FASB.org primary URL</t>
  </si>
  <si>
    <t xml:space="preserve">FASB Codification (DART preferred)</t>
  </si>
  <si>
    <t xml:space="preserve">Direct FASB.org Codification deep-links 403'd to automated fetch.</t>
  </si>
  <si>
    <t xml:space="preserve">—</t>
  </si>
  <si>
    <t xml:space="preserve">Use dart.deloitte.com or asc.fasb.org as the verified primary surface; FASB.org for citation reference only.</t>
  </si>
  <si>
    <t xml:space="preserve">https://asc.fasb.org/</t>
  </si>
  <si>
    <t xml:space="preserve">CONFLICT-MIN</t>
  </si>
  <si>
    <t xml:space="preserve">Conflict minerals disclosure (Dodd-Frank §1502 / Reg S-K Item 1502)</t>
  </si>
  <si>
    <t xml:space="preserve">SEC Reg S-K Item 1502</t>
  </si>
  <si>
    <t xml:space="preserve">Required for issuers using 3TG (tin, tungsten, tantalum, gold).</t>
  </si>
  <si>
    <t xml:space="preserve">D/P/H/J/E (◑ for J/P)</t>
  </si>
  <si>
    <t xml:space="preserve">Marked ◑ for J/P — applicable only where 3TG used and material.</t>
  </si>
  <si>
    <t xml:space="preserve">https://www.ecfr.gov/current/title-17/chapter-II/part-229/subpart-229.1500/section-229.1502</t>
  </si>
  <si>
    <t xml:space="preserve">MFG-K-C2</t>
  </si>
  <si>
    <t xml:space="preserve">IAS2-LIFO</t>
  </si>
  <si>
    <t xml:space="preserve">IAS 2 prohibits LIFO</t>
  </si>
  <si>
    <t xml:space="preserve">IFRS Foundation / IAS 2.25</t>
  </si>
  <si>
    <t xml:space="preserve">IAS 2 permits FIFO or weighted-average only; LIFO not permitted under IFRS.</t>
  </si>
  <si>
    <t xml:space="preserve">IAS 2.25 confirmed at IFRS.org and iasplus.com.</t>
  </si>
  <si>
    <t xml:space="preserve">https://www.ifrs.org/issued-standards/list-of-standards/ias-2-inventories/</t>
  </si>
  <si>
    <t xml:space="preserve">IAS16-COMP</t>
  </si>
  <si>
    <t xml:space="preserve">IAS 16 componentization requirement</t>
  </si>
  <si>
    <t xml:space="preserve">IFRS Foundation / IAS 16.43-49</t>
  </si>
  <si>
    <t xml:space="preserve">Each significant part of PP&amp;E depreciated separately.</t>
  </si>
  <si>
    <t xml:space="preserve">D/P/H/J/E (heavy in P, E)</t>
  </si>
  <si>
    <t xml:space="preserve">IAS 16.43 confirmed; divergence from US GAAP (componentization permitted but not required under ASC 360) noted.</t>
  </si>
  <si>
    <t xml:space="preserve">https://www.ifrs.org/issued-standards/list-of-standards/ias-16-property-plant-and-equipment/</t>
  </si>
  <si>
    <t xml:space="preserve">IAS16-REVAL</t>
  </si>
  <si>
    <t xml:space="preserve">IAS 16 revaluation model</t>
  </si>
  <si>
    <t xml:space="preserve">IFRS Foundation / IAS 16.29-42</t>
  </si>
  <si>
    <t xml:space="preserve">Optional revaluation to fair value; OCI revaluation surplus.</t>
  </si>
  <si>
    <t xml:space="preserve">IAS 16.31-42 confirmed; not available under US GAAP.</t>
  </si>
  <si>
    <t xml:space="preserve">IFRS15-SERIES</t>
  </si>
  <si>
    <t xml:space="preserve">IFRS 15 series guidance vs. ASC 606</t>
  </si>
  <si>
    <t xml:space="preserve">IFRS Foundation / IFRS 15.B62-65</t>
  </si>
  <si>
    <t xml:space="preserve">Series guidance substantively converged; minor wording differences.</t>
  </si>
  <si>
    <t xml:space="preserve">P primary; D/H secondary</t>
  </si>
  <si>
    <t xml:space="preserve">IFRS 15.22 series criteria confirmed.</t>
  </si>
  <si>
    <t xml:space="preserve">https://www.ifrs.org/issued-standards/list-of-standards/ifrs-15-revenue-from-contracts-with-customers/</t>
  </si>
  <si>
    <t xml:space="preserve">IFRS16-SINGLE</t>
  </si>
  <si>
    <t xml:space="preserve">IFRS 16 single-model lessee accounting</t>
  </si>
  <si>
    <t xml:space="preserve">IFRS Foundation / IFRS 16.22-60</t>
  </si>
  <si>
    <t xml:space="preserve">All leases (except short-term/low-value) on balance sheet as RoU + lease liability; finance-style expense pattern.</t>
  </si>
  <si>
    <t xml:space="preserve">IFRS 16.22 confirmed; divergence from ASC 842 dual model noted.</t>
  </si>
  <si>
    <t xml:space="preserve">https://www.ifrs.org/issued-standards/list-of-standards/ifrs-16-leases/</t>
  </si>
  <si>
    <t xml:space="preserve">IFRS-ROUTING</t>
  </si>
  <si>
    <t xml:space="preserve">Reporting basis routing logic (reportingBasis: 'US_GAAP' | 'IFRS')</t>
  </si>
  <si>
    <t xml:space="preserve">Advisacor internal spec (per Q5 resolution)</t>
  </si>
  <si>
    <t xml:space="preserve">Panel + disclosure templates branch on tenant-level reportingBasis flag.</t>
  </si>
  <si>
    <t xml:space="preserve">Internal routing spec; not a primary-source citation. Marked JUDGMENT for traceability.</t>
  </si>
  <si>
    <t xml:space="preserve">internal: MANUFACTURING_VERTICAL_PLANNING_DOCUMENT.md §reportingBasis</t>
  </si>
  <si>
    <t xml:space="preserve">MFG-K-D</t>
  </si>
  <si>
    <t xml:space="preserve">FED-G17</t>
  </si>
  <si>
    <t xml:space="preserve">Capacity utilization — manufacturing 75.7% (May 2026)</t>
  </si>
  <si>
    <t xml:space="preserve">Federal Reserve G.17</t>
  </si>
  <si>
    <t xml:space="preserve">Manufacturing 75.7% / total industry 76.2% / 2.5pp below 1972-2025 LR avg (May 2026 release).</t>
  </si>
  <si>
    <t xml:space="preserve">Confirmed live against Fed G.17 release.</t>
  </si>
  <si>
    <t xml:space="preserve">https://www.federalreserve.gov/releases/g17/current/default.htm</t>
  </si>
  <si>
    <t xml:space="preserve">NYU-MARGIN</t>
  </si>
  <si>
    <t xml:space="preserve">NYU Stern industry margins (Jan 2026 update)</t>
  </si>
  <si>
    <t xml:space="preserve">NYU Stern (Damodaran data)</t>
  </si>
  <si>
    <t xml:space="preserve">E.g., Machinery gross 37.5%, Specialty Chemical 35.1%, Basic Chemical 9.3%.</t>
  </si>
  <si>
    <t xml:space="preserve">Confirmed against Damodaran Jan 2026 dataset.</t>
  </si>
  <si>
    <t xml:space="preserve">https://pages.stern.nyu.edu/~adamodar/New_Home_Page/datafile/margin.html</t>
  </si>
  <si>
    <t xml:space="preserve">CENSUS-ASM</t>
  </si>
  <si>
    <t xml:space="preserve">Census ASM 2022 dollar figures per 6-digit NAICS</t>
  </si>
  <si>
    <t xml:space="preserve">Census Bureau Annual Survey of Manufactures</t>
  </si>
  <si>
    <t xml:space="preserve">Sub-sector revenue / employment / value-added scale references.</t>
  </si>
  <si>
    <t xml:space="preserve">Exact 6-digit table sets not extracted in Wave 1 pass. Need to pull ASM 2022 tables and lock specific dollar figures before panel ships.</t>
  </si>
  <si>
    <t xml:space="preserve">https://www.census.gov/programs-surveys/asm.html</t>
  </si>
  <si>
    <t xml:space="preserve">INV-TURNS-SPLIT</t>
  </si>
  <si>
    <t xml:space="preserve">Inventory-turn sub-sector splits (food 10-15x vs. machinery 4-6x)</t>
  </si>
  <si>
    <t xml:space="preserve">Composite: ASM + RMA + IndustryWeek</t>
  </si>
  <si>
    <t xml:space="preserve">Directional benchmark for sub-segment differences.</t>
  </si>
  <si>
    <t xml:space="preserve">P (high) vs. D/J/E (lower)</t>
  </si>
  <si>
    <t xml:space="preserve">Directional only; needs RMA/ASM cross-validation for percentile bands.</t>
  </si>
  <si>
    <t xml:space="preserve">https://www.rmahq.org/annual-statement-studies/</t>
  </si>
  <si>
    <t xml:space="preserve">PPM-DIST</t>
  </si>
  <si>
    <t xml:space="preserve">PPM / Cpk performance distribution by sub-segment</t>
  </si>
  <si>
    <t xml:space="preserve">ASQ / AIAG / Six Sigma BoK</t>
  </si>
  <si>
    <t xml:space="preserve">ASQ defines the standards; free percentile distributions by sub-segment unavailable.</t>
  </si>
  <si>
    <t xml:space="preserve">Definition verified; distribution data behind ASQ member portal.</t>
  </si>
  <si>
    <t xml:space="preserve">https://asq.org/quality-resources/six-sigma</t>
  </si>
  <si>
    <t xml:space="preserve">COST-STRUCTURE</t>
  </si>
  <si>
    <t xml:space="preserve">DM/DL/OH cost-structure split percentages</t>
  </si>
  <si>
    <t xml:space="preserve">Census ASM + IMA convention</t>
  </si>
  <si>
    <t xml:space="preserve">Derived from ASM aggregates + cost-accounting convention, not a single published table.</t>
  </si>
  <si>
    <t xml:space="preserve">D (50/15/35), P (60/10/30), J (45/25/30), E (40/30/30) — directional</t>
  </si>
  <si>
    <t xml:space="preserve">Synthesized from ASM aggregates. Founder may override at NAICS config.</t>
  </si>
  <si>
    <t xml:space="preserve">RMA-NACM</t>
  </si>
  <si>
    <t xml:space="preserve">RMA / NACM exact ratio medians</t>
  </si>
  <si>
    <t xml:space="preserve">RMA Annual Statement Studies / NACM credit benchmarks</t>
  </si>
  <si>
    <t xml:space="preserve">Working-capital and credit ratio medians by NAICS.</t>
  </si>
  <si>
    <t xml:space="preserve">Paywalled microdata; verify on RMA/NACM member portals.</t>
  </si>
  <si>
    <t xml:space="preserve">VAR-MAGNITUDE</t>
  </si>
  <si>
    <t xml:space="preserve">Variance magnitude ranges (Part IV)</t>
  </si>
  <si>
    <t xml:space="preserve">IMA SMA / AICPA cost-accounting pedagogy</t>
  </si>
  <si>
    <t xml:space="preserve">Typical magnitude ranges and alert thresholds (e.g., DM Price ±2-5% normal, &gt;5% flag).</t>
  </si>
  <si>
    <t xml:space="preserve">No free federal 'typical variance magnitude' dataset; synthesized from IMA/AICPA pedagogy. Needs tenant-sample validation post-deployment.</t>
  </si>
  <si>
    <t xml:space="preserve">OEE-WORLD-CLASS</t>
  </si>
  <si>
    <t xml:space="preserve">OEE 85% world-class threshold (sub-segment context)</t>
  </si>
  <si>
    <t xml:space="preserve">85% world-class is documented Nakajima/JIPM convention; not federal data.</t>
  </si>
  <si>
    <t xml:space="preserve">Industry convention with 30+ years of citation; founder-overridable.</t>
  </si>
  <si>
    <t xml:space="preserve">GROSS-MARGIN-32</t>
  </si>
  <si>
    <t xml:space="preserve">'~32% manufacturing gross margin' headline</t>
  </si>
  <si>
    <t xml:space="preserve">NYU Stern / Census ASM (composite)</t>
  </si>
  <si>
    <t xml:space="preserve">Industry headline retained; panel uses sub-sector bands not the headline.</t>
  </si>
  <si>
    <t xml:space="preserve">Headline-only. Panel binding uses sub-sector bands from NYU Stern Jan 2026 dataset.</t>
  </si>
  <si>
    <t xml:space="preserve">ETO-LEARNING</t>
  </si>
  <si>
    <t xml:space="preserve">ETO first-article DL-efficiency carve-out</t>
  </si>
  <si>
    <t xml:space="preserve">Crawford learning curve / IMA cost accounting</t>
  </si>
  <si>
    <t xml:space="preserve">ETO first-article variance treated differently (learning-curve adjustment).</t>
  </si>
  <si>
    <t xml:space="preserve">E only</t>
  </si>
  <si>
    <t xml:space="preserve">Standard learning-curve treatment. Founder + auditor confirm at contract config.</t>
  </si>
  <si>
    <t xml:space="preserve">CAPUTIL-BANDS</t>
  </si>
  <si>
    <t xml:space="preserve">Two-sided capacity-utilization band logic</t>
  </si>
  <si>
    <t xml:space="preserve">Federal Reserve G.17 + ASCM</t>
  </si>
  <si>
    <t xml:space="preserve">Under-utilization AND over-utilization both flag (over-utilization signals quality/maintenance risk).</t>
  </si>
  <si>
    <t xml:space="preserve">Two-sided band logic is internal design choice; primary data from G.17.</t>
  </si>
  <si>
    <t xml:space="preserve">HYBRID-NAICS</t>
  </si>
  <si>
    <t xml:space="preserve">Hybrid (H) has no native NAICS code</t>
  </si>
  <si>
    <t xml:space="preserve">Census NAICS manual</t>
  </si>
  <si>
    <t xml:space="preserve">H is founder-declared boundary between discrete + process workflows in a single facility.</t>
  </si>
  <si>
    <t xml:space="preserve">H only</t>
  </si>
  <si>
    <t xml:space="preserve">No federal NAICS code maps to 'hybrid'; founder-declared at onboarding.</t>
  </si>
  <si>
    <t xml:space="preserve">https://www.census.gov/naics/</t>
  </si>
  <si>
    <t xml:space="preserve">JOBSHOP-ETO-BOUNDARY</t>
  </si>
  <si>
    <t xml:space="preserve">Job Shop (J) vs. ETO (E) operational boundary</t>
  </si>
  <si>
    <t xml:space="preserve">ASCM / industry convention</t>
  </si>
  <si>
    <t xml:space="preserve">J = repeatable custom on stable tooling; E = one-off engineered design + build.</t>
  </si>
  <si>
    <t xml:space="preserve">J vs. E boundary</t>
  </si>
  <si>
    <t xml:space="preserve">Operational boundary; founder-declared. Often overlap in practice.</t>
  </si>
  <si>
    <t xml:space="preserve">DRAFT / SPEC ONLY — Sub-segment applicability matrix; consumed by the manufacturing variance panel router (per Q1 + Q7 resolutions).</t>
  </si>
  <si>
    <t xml:space="preserve">Sub-Segment Applicability Matrix</t>
  </si>
  <si>
    <t xml:space="preserve">Legend: ✓ = applies / standard; ◑ = applies with judgment / context-dependent; — = does not apply / not applicable; ✗ = explicitly prohibited.</t>
  </si>
  <si>
    <t xml:space="preserve">Item</t>
  </si>
  <si>
    <t xml:space="preserve">D (Discrete)</t>
  </si>
  <si>
    <t xml:space="preserve">P (Process)</t>
  </si>
  <si>
    <t xml:space="preserve">H (Hybrid)</t>
  </si>
  <si>
    <t xml:space="preserve">J (Job Shop)</t>
  </si>
  <si>
    <t xml:space="preserve">E (ETO)</t>
  </si>
  <si>
    <t xml:space="preserve">Notes</t>
  </si>
  <si>
    <t xml:space="preserve">MFG-K-A KPIs</t>
  </si>
  <si>
    <t xml:space="preserve">Variance panel — MFG-V-01..08 (realized)</t>
  </si>
  <si>
    <t xml:space="preserve">✓</t>
  </si>
  <si>
    <t xml:space="preserve">All 8 realized variances apply across all 5 sub-segments.</t>
  </si>
  <si>
    <t xml:space="preserve">MFG-V-09/10 (mix/yield variances)</t>
  </si>
  <si>
    <t xml:space="preserve">◑</t>
  </si>
  <si>
    <t xml:space="preserve">Material mix/yield primarily Process; rare in Discrete/Hybrid; not used in pure Job/ETO.</t>
  </si>
  <si>
    <t xml:space="preserve">MFG-FV-01..08 (forecast variances)</t>
  </si>
  <si>
    <t xml:space="preserve">Forecast meaningful where demand signal exists. ETO often single-order book; ◑.</t>
  </si>
  <si>
    <t xml:space="preserve">OEE (Availability × Performance × Quality)</t>
  </si>
  <si>
    <t xml:space="preserve">OEE strongest in repetitive D/P. Job/ETO use per-job efficiency instead.</t>
  </si>
  <si>
    <t xml:space="preserve">Takt time</t>
  </si>
  <si>
    <t xml:space="preserve">Takt assumes repetitive flow; Process substitutes throughput rate; ETO N/A.</t>
  </si>
  <si>
    <t xml:space="preserve">Backlog (forward-revenue indicator)</t>
  </si>
  <si>
    <t xml:space="preserve">Backlog most relevant J/E; Process plants sell from inventory.</t>
  </si>
  <si>
    <t xml:space="preserve">Rework rate</t>
  </si>
  <si>
    <t xml:space="preserve">Process often re-blends in-line, not tracked as discrete rework.</t>
  </si>
  <si>
    <t xml:space="preserve">MFG-K-B ASC 606</t>
  </si>
  <si>
    <t xml:space="preserve">Over-time recognition (criterion 3 — no alternative use)</t>
  </si>
  <si>
    <t xml:space="preserve">Process output typically has alternative use → PIT. Custom D/H → ◑.</t>
  </si>
  <si>
    <t xml:space="preserve">Significant financing component</t>
  </si>
  <si>
    <t xml:space="preserve">Most common in ETO long lead times; ◑ for large custom D.</t>
  </si>
  <si>
    <t xml:space="preserve">Bill-and-hold (ASC 606-10-55-81..84)</t>
  </si>
  <si>
    <t xml:space="preserve">Rare across all sub-segments; case-by-case contract review.</t>
  </si>
  <si>
    <t xml:space="preserve">Series guidance (homogeneous repetitive units)</t>
  </si>
  <si>
    <t xml:space="preserve">Series guidance binds Distinct vs. Series determination.</t>
  </si>
  <si>
    <t xml:space="preserve">MFG-K-C Disclosures</t>
  </si>
  <si>
    <t xml:space="preserve">LIFO eligibility (US GAAP)</t>
  </si>
  <si>
    <t xml:space="preserve">ETO typically holds WIP, not finished-goods inventory subject to LIFO.</t>
  </si>
  <si>
    <t xml:space="preserve">LIFO reserve disclosure (ASC 330-10-50-1)</t>
  </si>
  <si>
    <t xml:space="preserve">Required when LIFO elected; with IRC §472 conformity.</t>
  </si>
  <si>
    <t xml:space="preserve">Conflict minerals (Reg S-K Item 1502)</t>
  </si>
  <si>
    <t xml:space="preserve">Applies where 3TG used and material; ◑ for P/J.</t>
  </si>
  <si>
    <t xml:space="preserve">Climate disclosure (Reg S-K Subpart 1500)</t>
  </si>
  <si>
    <t xml:space="preserve">Issuer-size-tiered; rule status fluid — see PENDING entry in register.</t>
  </si>
  <si>
    <t xml:space="preserve">ASC 842 dual classification (operating vs. finance)</t>
  </si>
  <si>
    <t xml:space="preserve">All sub-segments; lessee dual model retained under US GAAP.</t>
  </si>
  <si>
    <t xml:space="preserve">MFG-K-C2 IFRS</t>
  </si>
  <si>
    <t xml:space="preserve">LIFO permitted</t>
  </si>
  <si>
    <t xml:space="preserve">✗</t>
  </si>
  <si>
    <t xml:space="preserve">IFRS IAS 2.25 — LIFO prohibited for IFRS reporters.</t>
  </si>
  <si>
    <t xml:space="preserve">IAS 16 componentization</t>
  </si>
  <si>
    <t xml:space="preserve">Required for IFRS reporters; significant impact in P/E.</t>
  </si>
  <si>
    <t xml:space="preserve">IAS 16 revaluation model (optional)</t>
  </si>
  <si>
    <t xml:space="preserve">Available under IFRS only; founder elects per asset class.</t>
  </si>
  <si>
    <t xml:space="preserve">IFRS 16 single-model lessee</t>
  </si>
  <si>
    <t xml:space="preserve">All leases (ex. short-term/low-value) on balance sheet.</t>
  </si>
  <si>
    <t xml:space="preserve">MFG-K-D Benchmarks</t>
  </si>
  <si>
    <t xml:space="preserve">Federal Reserve G.17 capacity utilization</t>
  </si>
  <si>
    <t xml:space="preserve">Manufacturing-wide 75.7% May 2026.</t>
  </si>
  <si>
    <t xml:space="preserve">Inventory turns (4-6x avg, 10-12x top quartile)</t>
  </si>
  <si>
    <t xml:space="preserve">Process typically higher; ETO holds WIP not finished goods.</t>
  </si>
  <si>
    <t xml:space="preserve">Gross margin sub-sector bands (NYU Stern Jan 2026)</t>
  </si>
  <si>
    <t xml:space="preserve">Sub-sector specific; panel uses NAICS lookup not headline 32%.</t>
  </si>
  <si>
    <t xml:space="preserve">Forecast accuracy targets (ASCM MAPE &lt;15% / &lt;10%)</t>
  </si>
  <si>
    <t xml:space="preserve">ETO often non-stochastic demand; ◑.</t>
  </si>
  <si>
    <t xml:space="preserve">DRAFT / SPEC ONLY — Verifier instructions for MFG-K-E.</t>
  </si>
  <si>
    <t xml:space="preserve">Manufacturing Citation Verification Register — Instructions</t>
  </si>
  <si>
    <t xml:space="preserve">PURPOSE</t>
  </si>
  <si>
    <t xml:space="preserve">Confirm the citations Advisacor loaded into Wave 1 source documents (MFG-K-A through MFG-K-D) match their authoritative primary sources. This register is the checking worksheet; the source documents themselves are the deliverable. Per Phase 42.5 close-out discipline: this is a PLANNING / DRAFT register only — locking requires real spine code + D0 proof + 20 PCs green + CPA/HIPAA-counsel engaged.</t>
  </si>
  <si>
    <t xml:space="preserve">SCOPE</t>
  </si>
  <si>
    <t xml:space="preserve">Wave 1 covers KPIs (MFG-K-A), ASC 606 (MFG-K-B), Disclosures (MFG-K-C), IFRS (MFG-K-C2), and Benchmarks (MFG-K-D). Each module is the source of authority for its rows in the Verification Register.</t>
  </si>
  <si>
    <t xml:space="preserve">WORKFLOW</t>
  </si>
  <si>
    <t xml:space="preserve">For each register row: (1) Open the Source URL live; (2) Compare the loaded citation against what the primary source actually says; (3) Set Status — VERIFIED / PENDING / FLAG / JUDGMENT; (4) Log Finding / Correction column with any discrepancies; (5) Initial + date. For PENDING rows, document why a live primary fetch could not be completed (auth-wall, 403, paywall, subscription). For FLAG rows, propose a corrective edit to the source doc.</t>
  </si>
  <si>
    <t xml:space="preserve">STATUS DEFINITIONS</t>
  </si>
  <si>
    <t xml:space="preserve">VERIFIED — primary-source URL retrieved live; cited figure / definition / formula matches verbatim or within stated tolerance. PENDING — citation loaded but live fetch deferred (auth-walled, 403, subscription-gated). FLAG — discrepancy detected, OR primary URL unreachable and no equivalent fallback found. JUDGMENT (◑) — loaded as professional/industry convention without a single sole authoritative primary; founder-overridable at config time.</t>
  </si>
  <si>
    <t xml:space="preserve">PRIORITY DEFINITIONS</t>
  </si>
  <si>
    <t xml:space="preserve">HIGH — affects panel binding or disclosure correctness; resolve before Wave 2 build. MEDIUM — affects accuracy of benchmark band or sub-segment routing; resolve before founder-facing release. LOW — convention citation or low-risk; can be batch-cleared at quarterly review.</t>
  </si>
  <si>
    <t xml:space="preserve">SUB-SEGMENT NOTATION</t>
  </si>
  <si>
    <t xml:space="preserve">D = Discrete; P = Process; H = Hybrid; J = Job Shop; E = Engineer-to-Order. Apply per Q1 resolution (all 5 sub-types covered).</t>
  </si>
  <si>
    <t xml:space="preserve">REPORTING BASIS</t>
  </si>
  <si>
    <t xml:space="preserve">Per Q5 resolution, all panels carry reportingBasis: 'US_GAAP' | 'IFRS'. MFG-K-C feeds US_GAAP; MFG-K-C2 feeds IFRS. Verification rows are tagged by module so the routing target is clear.</t>
  </si>
  <si>
    <t xml:space="preserve">WAVE 1 EXIT CRITERIA</t>
  </si>
  <si>
    <t xml:space="preserve">Before declaring Wave 1 complete and proceeding to Wave 2 (MFG-K-F through MFG-K-K spec work): (a) zero HIGH-priority FLAG rows remain open; (b) all MEDIUM-priority PENDING rows have either escalated to FLAG or been re-classified VERIFIED with primary-source confirmation; (c) founder sign-off captured in a separate planning document update.</t>
  </si>
  <si>
    <t xml:space="preserve">CARRY-FORWARD DISCIPLINE</t>
  </si>
  <si>
    <t xml:space="preserve">PLANNING DOCUMENT not 'lock'. DO NOT modify Phase 42 source files (locked at b11adcd). NEVER force-push. Reconnaissance before patching. Spec-driven build pattern. DRAFT/SPEC banner verbatim on every doc. executable: false. containsVerticalComplianceLogic: true. Composition not reimplementation. Additive only — no edits to existing CHK numbering. Phase 42.6 (SOC/HIPAA external) deferred until counsel/CPA/pentest engaged.</t>
  </si>
  <si>
    <t xml:space="preserve">PRIMARY SOURCE WHITELIST (recap)</t>
  </si>
  <si>
    <t xml:space="preserve">Cost accounting: imanet.org, aicpa-cima.com. Inventory/Revenue: dart.deloitte.com, fasb.org / asc.fasb.org, kpmg.com, ey.com, grantthornton.com, rsmus.com, pwc.com. Operations/OEE: ascm.org, asq.org, iso.org. Disclosure: sec.gov, ecfr.gov. Benchmarks: federalreserve.gov, bls.gov, census.gov, nacm.org, rmahq.org. IFRS: ifrs.org, iasplus.com. Sustainability: ghgprotocol.org, epa.gov. Secondary cross-ref only (never sole citation): IndustryWeek, Oracle NetSuite, Dintec, Eagle Rock CFO, NYU Stern (Damodaran).</t>
  </si>
  <si>
    <t xml:space="preserve">HAND-OFF TO MFG-K-E v2</t>
  </si>
  <si>
    <t xml:space="preserve">When this register is closed (all HIGH FLAGs resolved), copy the FLAG and PENDING rows into a new tab 'v2 Open Items' for the next pass. Append a date-stamped row to the Summary aggregate counts. DO NOT delete VERIFIED rows — they are the audit trail.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</si>
</sst>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#,##0"/>
    <numFmt numFmtId="166" formatCode="0.0%"/>
  </numFmts>
  <fonts count="1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964219"/>
      <name val="Calibri"/>
      <family val="0"/>
      <charset val="1"/>
    </font>
    <font>
      <b val="true"/>
      <sz val="14"/>
      <color rgb="FF28251D"/>
      <name val="Calibri"/>
      <family val="0"/>
      <charset val="1"/>
    </font>
    <font>
      <i val="true"/>
      <sz val="10"/>
      <color rgb="FF7A7974"/>
      <name val="Calibri"/>
      <family val="0"/>
      <charset val="1"/>
    </font>
    <font>
      <b val="true"/>
      <sz val="11"/>
      <color rgb="FF01696F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sz val="10"/>
      <color rgb="FF28251D"/>
      <name val="Calibri"/>
      <family val="0"/>
      <charset val="1"/>
    </font>
    <font>
      <sz val="9"/>
      <color rgb="FF28251D"/>
      <name val="Consolas"/>
      <family val="0"/>
      <charset val="1"/>
    </font>
    <font>
      <b val="true"/>
      <sz val="10"/>
      <name val="Calibri"/>
      <family val="0"/>
      <charset val="1"/>
    </font>
    <font>
      <b val="true"/>
      <sz val="11"/>
      <name val="Calibri"/>
      <family val="0"/>
      <charset val="1"/>
    </font>
    <font>
      <b val="true"/>
      <sz val="10"/>
      <color rgb="FF01696F"/>
      <name val="Calibri"/>
      <family val="0"/>
      <charset val="1"/>
    </font>
    <font>
      <u val="single"/>
      <sz val="9"/>
      <color rgb="FF0C4E54"/>
      <name val="Consolas"/>
      <family val="0"/>
      <charset val="1"/>
    </font>
    <font>
      <b val="true"/>
      <sz val="10"/>
      <color rgb="FF437A22"/>
      <name val="Calibri"/>
      <family val="0"/>
      <charset val="1"/>
    </font>
    <font>
      <b val="true"/>
      <sz val="10"/>
      <color rgb="FFA12C7B"/>
      <name val="Calibri"/>
      <family val="0"/>
      <charset val="1"/>
    </font>
    <font>
      <b val="true"/>
      <sz val="9"/>
      <color rgb="FF01696F"/>
      <name val="Calibri"/>
      <family val="0"/>
      <charset val="1"/>
    </font>
    <font>
      <sz val="11"/>
      <color rgb="FFBAB9B4"/>
      <name val="Calibri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FBEFB0"/>
        <bgColor rgb="FFFFF3CD"/>
      </patternFill>
    </fill>
    <fill>
      <patternFill patternType="solid">
        <fgColor rgb="FF01696F"/>
        <bgColor rgb="FF008080"/>
      </patternFill>
    </fill>
    <fill>
      <patternFill patternType="solid">
        <fgColor rgb="FFF7F6F2"/>
        <bgColor rgb="FFFFFFFF"/>
      </patternFill>
    </fill>
    <fill>
      <patternFill patternType="solid">
        <fgColor rgb="FFDCEDC8"/>
        <bgColor rgb="FFD1ECF1"/>
      </patternFill>
    </fill>
    <fill>
      <patternFill patternType="solid">
        <fgColor rgb="FFFFF3CD"/>
        <bgColor rgb="FFFBEFB0"/>
      </patternFill>
    </fill>
    <fill>
      <patternFill patternType="solid">
        <fgColor rgb="FFF8D7DA"/>
        <bgColor rgb="FFD4D1CA"/>
      </patternFill>
    </fill>
    <fill>
      <patternFill patternType="solid">
        <fgColor rgb="FFD1ECF1"/>
        <bgColor rgb="FFDCEDC8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4D1CA"/>
      </left>
      <right style="thin">
        <color rgb="FFD4D1CA"/>
      </right>
      <top style="thin">
        <color rgb="FFD4D1CA"/>
      </top>
      <bottom style="thin">
        <color rgb="FFD4D1CA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1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7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8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0" fillId="0" borderId="1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2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4" borderId="1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0" fillId="4" borderId="1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1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2">
    <dxf>
      <fill>
        <patternFill patternType="solid">
          <fgColor rgb="FF01696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28251D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1ECF1"/>
          <bgColor rgb="FF000000"/>
        </patternFill>
      </fill>
    </dxf>
    <dxf>
      <fill>
        <patternFill patternType="solid">
          <fgColor rgb="FFDCEDC8"/>
          <bgColor rgb="FF000000"/>
        </patternFill>
      </fill>
    </dxf>
    <dxf>
      <fill>
        <patternFill patternType="solid">
          <fgColor rgb="FFF8D7DA"/>
          <bgColor rgb="FF000000"/>
        </patternFill>
      </fill>
    </dxf>
    <dxf>
      <fill>
        <patternFill patternType="solid">
          <fgColor rgb="FFFFF3CD"/>
          <bgColor rgb="FF000000"/>
        </patternFill>
      </fill>
    </dxf>
    <dxf>
      <fill>
        <patternFill patternType="solid">
          <fgColor rgb="FF437A22"/>
          <bgColor rgb="FF000000"/>
        </patternFill>
      </fill>
    </dxf>
    <dxf>
      <fill>
        <patternFill patternType="solid">
          <fgColor rgb="FF964219"/>
          <bgColor rgb="FF000000"/>
        </patternFill>
      </fill>
    </dxf>
    <dxf>
      <fill>
        <patternFill patternType="solid">
          <fgColor rgb="FFA12C7B"/>
          <bgColor rgb="FF000000"/>
        </patternFill>
      </fill>
    </dxf>
    <dxf>
      <fill>
        <patternFill patternType="solid">
          <fgColor rgb="FF0C4E54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1696F"/>
      <rgbColor rgb="FFBAB9B4"/>
      <rgbColor rgb="FF7A7974"/>
      <rgbColor rgb="FF9999FF"/>
      <rgbColor rgb="FFA12C7B"/>
      <rgbColor rgb="FFFFF3CD"/>
      <rgbColor rgb="FFD1ECF1"/>
      <rgbColor rgb="FF660066"/>
      <rgbColor rgb="FFFF8080"/>
      <rgbColor rgb="FF0066CC"/>
      <rgbColor rgb="FFD4D1CA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7F6F2"/>
      <rgbColor rgb="FFDCEDC8"/>
      <rgbColor rgb="FFFBEFB0"/>
      <rgbColor rgb="FF99CCFF"/>
      <rgbColor rgb="FFFF99CC"/>
      <rgbColor rgb="FFCC99FF"/>
      <rgbColor rgb="FFF8D7DA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C4E54"/>
      <rgbColor rgb="FF437A22"/>
      <rgbColor rgb="FF003300"/>
      <rgbColor rgb="FF333300"/>
      <rgbColor rgb="FF964219"/>
      <rgbColor rgb="FF993366"/>
      <rgbColor rgb="FF333399"/>
      <rgbColor rgb="FF28251D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asq.org/quality-resources/reliability" TargetMode="External"/><Relationship Id="rId2" Type="http://schemas.openxmlformats.org/officeDocument/2006/relationships/hyperlink" Target="https://asq.org/quality-resources/reliability" TargetMode="External"/><Relationship Id="rId3" Type="http://schemas.openxmlformats.org/officeDocument/2006/relationships/hyperlink" Target="https://asq.org/quality-resources/process-capability" TargetMode="External"/><Relationship Id="rId4" Type="http://schemas.openxmlformats.org/officeDocument/2006/relationships/hyperlink" Target="https://www.ascm.org/learning-development/certifications-credentials/cpim/" TargetMode="External"/><Relationship Id="rId5" Type="http://schemas.openxmlformats.org/officeDocument/2006/relationships/hyperlink" Target="https://www.ascm.org/learning-development/certifications-credentials/cpim/" TargetMode="External"/><Relationship Id="rId6" Type="http://schemas.openxmlformats.org/officeDocument/2006/relationships/hyperlink" Target="https://www.lean.org/lexicon-terms/takt-time/" TargetMode="External"/><Relationship Id="rId7" Type="http://schemas.openxmlformats.org/officeDocument/2006/relationships/hyperlink" Target="https://asq.org/quality-resources/cost-of-quality" TargetMode="External"/><Relationship Id="rId8" Type="http://schemas.openxmlformats.org/officeDocument/2006/relationships/hyperlink" Target="https://www.imanet.org/career-resources/management-accounting-competency-framework" TargetMode="External"/><Relationship Id="rId9" Type="http://schemas.openxmlformats.org/officeDocument/2006/relationships/hyperlink" Target="https://dart.deloitte.com/USDART/home/codification/revenue/asc606" TargetMode="External"/><Relationship Id="rId10" Type="http://schemas.openxmlformats.org/officeDocument/2006/relationships/hyperlink" Target="https://dart.deloitte.com/USDART/home/codification/revenue/asc606" TargetMode="External"/><Relationship Id="rId11" Type="http://schemas.openxmlformats.org/officeDocument/2006/relationships/hyperlink" Target="https://www.sec.gov/interps/account/sabcodet13.htm" TargetMode="External"/><Relationship Id="rId12" Type="http://schemas.openxmlformats.org/officeDocument/2006/relationships/hyperlink" Target="https://dart.deloitte.com/USDART/home/codification/revenue/asc606" TargetMode="External"/><Relationship Id="rId13" Type="http://schemas.openxmlformats.org/officeDocument/2006/relationships/hyperlink" Target="https://www.law.cornell.edu/uscode/text/26/472" TargetMode="External"/><Relationship Id="rId14" Type="http://schemas.openxmlformats.org/officeDocument/2006/relationships/hyperlink" Target="https://www.sec.gov/interps/account/sabcodet5.htm" TargetMode="External"/><Relationship Id="rId15" Type="http://schemas.openxmlformats.org/officeDocument/2006/relationships/hyperlink" Target="https://dart.deloitte.com/USDART/home/codification/leases/asc842" TargetMode="External"/><Relationship Id="rId16" Type="http://schemas.openxmlformats.org/officeDocument/2006/relationships/hyperlink" Target="https://www.ecfr.gov/current/title-17/chapter-II/part-229/subpart-229.100/section-229.101" TargetMode="External"/><Relationship Id="rId17" Type="http://schemas.openxmlformats.org/officeDocument/2006/relationships/hyperlink" Target="https://www.ecfr.gov/current/title-17/chapter-II/part-229/subpart-229.100/section-229.105" TargetMode="External"/><Relationship Id="rId18" Type="http://schemas.openxmlformats.org/officeDocument/2006/relationships/hyperlink" Target="https://www.sec.gov/rules/final/2024/33-11275.pdf" TargetMode="External"/><Relationship Id="rId19" Type="http://schemas.openxmlformats.org/officeDocument/2006/relationships/hyperlink" Target="https://asc.fasb.org/" TargetMode="External"/><Relationship Id="rId20" Type="http://schemas.openxmlformats.org/officeDocument/2006/relationships/hyperlink" Target="https://www.ecfr.gov/current/title-17/chapter-II/part-229/subpart-229.1500/section-229.1502" TargetMode="External"/><Relationship Id="rId21" Type="http://schemas.openxmlformats.org/officeDocument/2006/relationships/hyperlink" Target="https://www.ifrs.org/issued-standards/list-of-standards/ias-2-inventories/" TargetMode="External"/><Relationship Id="rId22" Type="http://schemas.openxmlformats.org/officeDocument/2006/relationships/hyperlink" Target="https://www.ifrs.org/issued-standards/list-of-standards/ias-16-property-plant-and-equipment/" TargetMode="External"/><Relationship Id="rId23" Type="http://schemas.openxmlformats.org/officeDocument/2006/relationships/hyperlink" Target="https://www.ifrs.org/issued-standards/list-of-standards/ias-16-property-plant-and-equipment/" TargetMode="External"/><Relationship Id="rId24" Type="http://schemas.openxmlformats.org/officeDocument/2006/relationships/hyperlink" Target="https://www.ifrs.org/issued-standards/list-of-standards/ifrs-15-revenue-from-contracts-with-customers/" TargetMode="External"/><Relationship Id="rId25" Type="http://schemas.openxmlformats.org/officeDocument/2006/relationships/hyperlink" Target="https://www.ifrs.org/issued-standards/list-of-standards/ifrs-16-leases/" TargetMode="External"/><Relationship Id="rId26" Type="http://schemas.openxmlformats.org/officeDocument/2006/relationships/hyperlink" Target="https://www.federalreserve.gov/releases/g17/current/default.htm" TargetMode="External"/><Relationship Id="rId27" Type="http://schemas.openxmlformats.org/officeDocument/2006/relationships/hyperlink" Target="https://pages.stern.nyu.edu/~adamodar/New_Home_Page/datafile/margin.html" TargetMode="External"/><Relationship Id="rId28" Type="http://schemas.openxmlformats.org/officeDocument/2006/relationships/hyperlink" Target="https://www.census.gov/programs-surveys/asm.html" TargetMode="External"/><Relationship Id="rId29" Type="http://schemas.openxmlformats.org/officeDocument/2006/relationships/hyperlink" Target="https://www.rmahq.org/annual-statement-studies/" TargetMode="External"/><Relationship Id="rId30" Type="http://schemas.openxmlformats.org/officeDocument/2006/relationships/hyperlink" Target="https://asq.org/quality-resources/six-sigma" TargetMode="External"/><Relationship Id="rId31" Type="http://schemas.openxmlformats.org/officeDocument/2006/relationships/hyperlink" Target="https://www.census.gov/programs-surveys/asm.html" TargetMode="External"/><Relationship Id="rId32" Type="http://schemas.openxmlformats.org/officeDocument/2006/relationships/hyperlink" Target="https://www.rmahq.org/annual-statement-studies/" TargetMode="External"/><Relationship Id="rId33" Type="http://schemas.openxmlformats.org/officeDocument/2006/relationships/hyperlink" Target="https://www.imanet.org/career-resources/management-accounting-competency-framework" TargetMode="External"/><Relationship Id="rId34" Type="http://schemas.openxmlformats.org/officeDocument/2006/relationships/hyperlink" Target="https://www.ascm.org/learning-development/certifications-credentials/cpim/" TargetMode="External"/><Relationship Id="rId35" Type="http://schemas.openxmlformats.org/officeDocument/2006/relationships/hyperlink" Target="https://pages.stern.nyu.edu/~adamodar/New_Home_Page/datafile/margin.html" TargetMode="External"/><Relationship Id="rId36" Type="http://schemas.openxmlformats.org/officeDocument/2006/relationships/hyperlink" Target="https://www.imanet.org/career-resources/management-accounting-competency-framework" TargetMode="External"/><Relationship Id="rId37" Type="http://schemas.openxmlformats.org/officeDocument/2006/relationships/hyperlink" Target="https://www.federalreserve.gov/releases/g17/current/default.htm" TargetMode="External"/><Relationship Id="rId38" Type="http://schemas.openxmlformats.org/officeDocument/2006/relationships/hyperlink" Target="https://www.census.gov/naics/" TargetMode="External"/><Relationship Id="rId39" Type="http://schemas.openxmlformats.org/officeDocument/2006/relationships/hyperlink" Target="https://www.ascm.org/learning-development/certifications-credentials/cpim/" TargetMode="External"/><Relationship Id="rId40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D4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42"/>
    <col collapsed="false" customWidth="true" hidden="false" outlineLevel="0" max="3" min="3" style="0" width="12"/>
    <col collapsed="false" customWidth="true" hidden="false" outlineLevel="0" max="4" min="4" style="0" width="70"/>
  </cols>
  <sheetData>
    <row r="1" customFormat="false" ht="7.5" hidden="false" customHeight="true" outlineLevel="0" collapsed="false"/>
    <row r="2" customFormat="false" ht="48" hidden="false" customHeight="true" outlineLevel="0" collapsed="false">
      <c r="B2" s="1" t="s">
        <v>0</v>
      </c>
      <c r="C2" s="1"/>
      <c r="D2" s="1"/>
    </row>
    <row r="4" customFormat="false" ht="17.35" hidden="false" customHeight="false" outlineLevel="0" collapsed="false">
      <c r="B4" s="2" t="s">
        <v>1</v>
      </c>
      <c r="C4" s="2"/>
      <c r="D4" s="2"/>
    </row>
    <row r="5" customFormat="false" ht="15" hidden="false" customHeight="false" outlineLevel="0" collapsed="false">
      <c r="B5" s="3" t="s">
        <v>2</v>
      </c>
      <c r="C5" s="3"/>
      <c r="D5" s="3"/>
    </row>
    <row r="7" customFormat="false" ht="15" hidden="false" customHeight="false" outlineLevel="0" collapsed="false">
      <c r="B7" s="4" t="s">
        <v>3</v>
      </c>
    </row>
    <row r="8" customFormat="false" ht="15" hidden="false" customHeight="false" outlineLevel="0" collapsed="false">
      <c r="B8" s="5" t="s">
        <v>4</v>
      </c>
      <c r="C8" s="5" t="s">
        <v>5</v>
      </c>
      <c r="D8" s="5" t="s">
        <v>6</v>
      </c>
    </row>
    <row r="9" customFormat="false" ht="15" hidden="false" customHeight="false" outlineLevel="0" collapsed="false">
      <c r="B9" s="6" t="s">
        <v>7</v>
      </c>
      <c r="C9" s="7" t="n">
        <v>2046</v>
      </c>
      <c r="D9" s="8" t="s">
        <v>8</v>
      </c>
    </row>
    <row r="10" customFormat="false" ht="15" hidden="false" customHeight="false" outlineLevel="0" collapsed="false">
      <c r="B10" s="6" t="s">
        <v>9</v>
      </c>
      <c r="C10" s="7" t="n">
        <v>757</v>
      </c>
      <c r="D10" s="8" t="s">
        <v>10</v>
      </c>
    </row>
    <row r="11" customFormat="false" ht="15" hidden="false" customHeight="false" outlineLevel="0" collapsed="false">
      <c r="B11" s="6" t="s">
        <v>11</v>
      </c>
      <c r="C11" s="7" t="n">
        <v>680</v>
      </c>
      <c r="D11" s="8" t="s">
        <v>12</v>
      </c>
    </row>
    <row r="12" customFormat="false" ht="15" hidden="false" customHeight="false" outlineLevel="0" collapsed="false">
      <c r="B12" s="6" t="s">
        <v>13</v>
      </c>
      <c r="C12" s="7" t="n">
        <v>766</v>
      </c>
      <c r="D12" s="8" t="s">
        <v>14</v>
      </c>
    </row>
    <row r="13" customFormat="false" ht="15" hidden="false" customHeight="false" outlineLevel="0" collapsed="false">
      <c r="B13" s="6" t="s">
        <v>15</v>
      </c>
      <c r="C13" s="7" t="n">
        <v>691</v>
      </c>
      <c r="D13" s="8" t="s">
        <v>16</v>
      </c>
    </row>
    <row r="14" customFormat="false" ht="15" hidden="false" customHeight="false" outlineLevel="0" collapsed="false">
      <c r="B14" s="9" t="s">
        <v>17</v>
      </c>
      <c r="C14" s="10" t="n">
        <f aca="false">SUM(C9:C13)</f>
        <v>4940</v>
      </c>
      <c r="D14" s="11"/>
    </row>
    <row r="17" customFormat="false" ht="15" hidden="false" customHeight="false" outlineLevel="0" collapsed="false">
      <c r="B17" s="4" t="s">
        <v>18</v>
      </c>
    </row>
    <row r="18" customFormat="false" ht="15" hidden="false" customHeight="false" outlineLevel="0" collapsed="false">
      <c r="B18" s="12" t="s">
        <v>19</v>
      </c>
      <c r="C18" s="12" t="s">
        <v>20</v>
      </c>
      <c r="D18" s="12"/>
    </row>
    <row r="19" customFormat="false" ht="31.5" hidden="false" customHeight="true" outlineLevel="0" collapsed="false">
      <c r="B19" s="13" t="s">
        <v>21</v>
      </c>
      <c r="C19" s="14" t="s">
        <v>22</v>
      </c>
      <c r="D19" s="14"/>
    </row>
    <row r="20" customFormat="false" ht="31.5" hidden="false" customHeight="true" outlineLevel="0" collapsed="false">
      <c r="B20" s="15" t="s">
        <v>23</v>
      </c>
      <c r="C20" s="14" t="s">
        <v>24</v>
      </c>
      <c r="D20" s="14"/>
    </row>
    <row r="21" customFormat="false" ht="31.5" hidden="false" customHeight="true" outlineLevel="0" collapsed="false">
      <c r="B21" s="16" t="s">
        <v>25</v>
      </c>
      <c r="C21" s="14" t="s">
        <v>26</v>
      </c>
      <c r="D21" s="14"/>
    </row>
    <row r="22" customFormat="false" ht="31.5" hidden="false" customHeight="true" outlineLevel="0" collapsed="false">
      <c r="B22" s="17" t="s">
        <v>27</v>
      </c>
      <c r="C22" s="14" t="s">
        <v>28</v>
      </c>
      <c r="D22" s="14"/>
    </row>
    <row r="25" customFormat="false" ht="15" hidden="false" customHeight="false" outlineLevel="0" collapsed="false">
      <c r="B25" s="18" t="s">
        <v>29</v>
      </c>
      <c r="C25" s="18"/>
      <c r="D25" s="18"/>
    </row>
    <row r="26" customFormat="false" ht="15" hidden="false" customHeight="false" outlineLevel="0" collapsed="false">
      <c r="B26" s="12" t="s">
        <v>19</v>
      </c>
      <c r="C26" s="12" t="s">
        <v>30</v>
      </c>
      <c r="D26" s="12" t="s">
        <v>31</v>
      </c>
    </row>
    <row r="27" customFormat="false" ht="15" hidden="false" customHeight="false" outlineLevel="0" collapsed="false">
      <c r="B27" s="19" t="s">
        <v>21</v>
      </c>
      <c r="C27" s="20" t="n">
        <f aca="false">COUNTIF('Verification Register'!I:I,"VERIFIED")</f>
        <v>14</v>
      </c>
      <c r="D27" s="21" t="n">
        <f aca="false">IFERROR(C27/SUM($C$27:$C$30),0)</f>
        <v>0.35</v>
      </c>
    </row>
    <row r="28" customFormat="false" ht="15" hidden="false" customHeight="false" outlineLevel="0" collapsed="false">
      <c r="B28" s="19" t="s">
        <v>23</v>
      </c>
      <c r="C28" s="20" t="n">
        <f aca="false">COUNTIF('Verification Register'!I:I,"PENDING")</f>
        <v>7</v>
      </c>
      <c r="D28" s="21" t="n">
        <f aca="false">IFERROR(C28/SUM($C$27:$C$30),0)</f>
        <v>0.175</v>
      </c>
    </row>
    <row r="29" customFormat="false" ht="15" hidden="false" customHeight="false" outlineLevel="0" collapsed="false">
      <c r="B29" s="19" t="s">
        <v>25</v>
      </c>
      <c r="C29" s="20" t="n">
        <f aca="false">COUNTIF('Verification Register'!I:I,"FLAG")</f>
        <v>1</v>
      </c>
      <c r="D29" s="21" t="n">
        <f aca="false">IFERROR(C29/SUM($C$27:$C$30),0)</f>
        <v>0.025</v>
      </c>
    </row>
    <row r="30" customFormat="false" ht="15" hidden="false" customHeight="false" outlineLevel="0" collapsed="false">
      <c r="B30" s="19" t="s">
        <v>32</v>
      </c>
      <c r="C30" s="20" t="n">
        <f aca="false">COUNTIF('Verification Register'!I:I,"JUDGMENT")</f>
        <v>18</v>
      </c>
      <c r="D30" s="21" t="n">
        <f aca="false">IFERROR(C30/SUM($C$27:$C$30),0)</f>
        <v>0.45</v>
      </c>
    </row>
    <row r="31" customFormat="false" ht="15" hidden="false" customHeight="false" outlineLevel="0" collapsed="false">
      <c r="B31" s="22" t="s">
        <v>17</v>
      </c>
      <c r="C31" s="23" t="n">
        <f aca="false">SUM(C27:C30)</f>
        <v>40</v>
      </c>
      <c r="D31" s="24" t="n">
        <f aca="false">IFERROR(SUM(D27:D30),0)</f>
        <v>1</v>
      </c>
    </row>
    <row r="34" customFormat="false" ht="15" hidden="false" customHeight="false" outlineLevel="0" collapsed="false">
      <c r="B34" s="18" t="s">
        <v>33</v>
      </c>
      <c r="C34" s="18"/>
      <c r="D34" s="18"/>
    </row>
    <row r="35" customFormat="false" ht="15" hidden="false" customHeight="false" outlineLevel="0" collapsed="false">
      <c r="B35" s="12" t="s">
        <v>34</v>
      </c>
      <c r="C35" s="25" t="s">
        <v>35</v>
      </c>
      <c r="D35" s="25"/>
    </row>
    <row r="36" customFormat="false" ht="30" hidden="false" customHeight="true" outlineLevel="0" collapsed="false">
      <c r="B36" s="26" t="s">
        <v>36</v>
      </c>
      <c r="C36" s="14" t="s">
        <v>37</v>
      </c>
      <c r="D36" s="14"/>
    </row>
    <row r="37" customFormat="false" ht="30" hidden="false" customHeight="true" outlineLevel="0" collapsed="false">
      <c r="B37" s="26" t="s">
        <v>38</v>
      </c>
      <c r="C37" s="14" t="s">
        <v>39</v>
      </c>
      <c r="D37" s="14"/>
    </row>
    <row r="38" customFormat="false" ht="30" hidden="false" customHeight="true" outlineLevel="0" collapsed="false">
      <c r="B38" s="26" t="s">
        <v>40</v>
      </c>
      <c r="C38" s="14" t="s">
        <v>41</v>
      </c>
      <c r="D38" s="14"/>
    </row>
    <row r="39" customFormat="false" ht="30" hidden="false" customHeight="true" outlineLevel="0" collapsed="false">
      <c r="B39" s="26" t="s">
        <v>42</v>
      </c>
      <c r="C39" s="14" t="s">
        <v>43</v>
      </c>
      <c r="D39" s="14"/>
    </row>
    <row r="40" customFormat="false" ht="30" hidden="false" customHeight="true" outlineLevel="0" collapsed="false">
      <c r="B40" s="26" t="s">
        <v>44</v>
      </c>
      <c r="C40" s="14" t="s">
        <v>45</v>
      </c>
      <c r="D40" s="14"/>
    </row>
    <row r="41" customFormat="false" ht="30" hidden="false" customHeight="true" outlineLevel="0" collapsed="false">
      <c r="B41" s="26" t="s">
        <v>46</v>
      </c>
      <c r="C41" s="14" t="s">
        <v>47</v>
      </c>
      <c r="D41" s="14"/>
    </row>
    <row r="42" customFormat="false" ht="30" hidden="false" customHeight="true" outlineLevel="0" collapsed="false">
      <c r="B42" s="26" t="s">
        <v>48</v>
      </c>
      <c r="C42" s="14" t="s">
        <v>49</v>
      </c>
      <c r="D42" s="14"/>
    </row>
  </sheetData>
  <mergeCells count="18">
    <mergeCell ref="B2:D2"/>
    <mergeCell ref="B4:D4"/>
    <mergeCell ref="B5:D5"/>
    <mergeCell ref="C18:D18"/>
    <mergeCell ref="C19:D19"/>
    <mergeCell ref="C20:D20"/>
    <mergeCell ref="C21:D21"/>
    <mergeCell ref="C22:D22"/>
    <mergeCell ref="B25:D25"/>
    <mergeCell ref="B34:D34"/>
    <mergeCell ref="C35:D35"/>
    <mergeCell ref="C36:D36"/>
    <mergeCell ref="C37:D37"/>
    <mergeCell ref="C38:D38"/>
    <mergeCell ref="C39:D39"/>
    <mergeCell ref="C40:D40"/>
    <mergeCell ref="C41:D41"/>
    <mergeCell ref="C42:D4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M4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6"/>
    <col collapsed="false" customWidth="true" hidden="false" outlineLevel="0" max="3" min="3" style="0" width="12"/>
    <col collapsed="false" customWidth="true" hidden="false" outlineLevel="0" max="4" min="4" style="0" width="14"/>
    <col collapsed="false" customWidth="true" hidden="false" outlineLevel="0" max="5" min="5" style="0" width="30"/>
    <col collapsed="false" customWidth="true" hidden="false" outlineLevel="0" max="6" min="6" style="0" width="22"/>
    <col collapsed="false" customWidth="true" hidden="false" outlineLevel="0" max="7" min="7" style="0" width="50"/>
    <col collapsed="false" customWidth="true" hidden="false" outlineLevel="0" max="8" min="8" style="0" width="12"/>
    <col collapsed="false" customWidth="true" hidden="false" outlineLevel="0" max="9" min="9" style="0" width="14"/>
    <col collapsed="false" customWidth="true" hidden="false" outlineLevel="0" max="10" min="10" style="0" width="40"/>
    <col collapsed="false" customWidth="true" hidden="false" outlineLevel="0" max="11" min="11" style="0" width="10"/>
    <col collapsed="false" customWidth="true" hidden="false" outlineLevel="0" max="12" min="12" style="0" width="12"/>
    <col collapsed="false" customWidth="true" hidden="false" outlineLevel="0" max="13" min="13" style="0" width="50"/>
  </cols>
  <sheetData>
    <row r="1" customFormat="false" ht="7.5" hidden="false" customHeight="true" outlineLevel="0" collapsed="false"/>
    <row r="2" customFormat="false" ht="36" hidden="false" customHeight="true" outlineLevel="0" collapsed="false">
      <c r="B2" s="27" t="s">
        <v>50</v>
      </c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</row>
    <row r="4" customFormat="false" ht="17.35" hidden="false" customHeight="false" outlineLevel="0" collapsed="false">
      <c r="B4" s="2" t="s">
        <v>51</v>
      </c>
      <c r="C4" s="2"/>
      <c r="D4" s="2"/>
      <c r="E4" s="2"/>
      <c r="F4" s="2"/>
      <c r="G4" s="2"/>
      <c r="H4" s="2"/>
      <c r="I4" s="2"/>
      <c r="J4" s="2"/>
      <c r="K4" s="2"/>
      <c r="L4" s="2"/>
      <c r="M4" s="2"/>
    </row>
    <row r="6" customFormat="false" ht="42" hidden="false" customHeight="true" outlineLevel="0" collapsed="false">
      <c r="B6" s="28" t="s">
        <v>52</v>
      </c>
      <c r="C6" s="28" t="s">
        <v>4</v>
      </c>
      <c r="D6" s="28" t="s">
        <v>53</v>
      </c>
      <c r="E6" s="28" t="s">
        <v>54</v>
      </c>
      <c r="F6" s="28" t="s">
        <v>55</v>
      </c>
      <c r="G6" s="28" t="s">
        <v>56</v>
      </c>
      <c r="H6" s="28" t="s">
        <v>57</v>
      </c>
      <c r="I6" s="28" t="s">
        <v>19</v>
      </c>
      <c r="J6" s="28" t="s">
        <v>58</v>
      </c>
      <c r="K6" s="28" t="s">
        <v>59</v>
      </c>
      <c r="L6" s="28" t="s">
        <v>60</v>
      </c>
      <c r="M6" s="28" t="s">
        <v>61</v>
      </c>
    </row>
    <row r="7" customFormat="false" ht="55.5" hidden="false" customHeight="true" outlineLevel="0" collapsed="false">
      <c r="B7" s="29" t="n">
        <v>1</v>
      </c>
      <c r="C7" s="30" t="s">
        <v>62</v>
      </c>
      <c r="D7" s="31" t="s">
        <v>63</v>
      </c>
      <c r="E7" s="14" t="s">
        <v>64</v>
      </c>
      <c r="F7" s="14" t="s">
        <v>65</v>
      </c>
      <c r="G7" s="14" t="s">
        <v>66</v>
      </c>
      <c r="H7" s="32" t="s">
        <v>67</v>
      </c>
      <c r="I7" s="33" t="s">
        <v>32</v>
      </c>
      <c r="J7" s="14" t="s">
        <v>68</v>
      </c>
      <c r="K7" s="34" t="s">
        <v>69</v>
      </c>
      <c r="L7" s="29" t="s">
        <v>70</v>
      </c>
      <c r="M7" s="35" t="s">
        <v>71</v>
      </c>
    </row>
    <row r="8" customFormat="false" ht="55.5" hidden="false" customHeight="true" outlineLevel="0" collapsed="false">
      <c r="B8" s="29" t="n">
        <v>2</v>
      </c>
      <c r="C8" s="30" t="s">
        <v>62</v>
      </c>
      <c r="D8" s="31" t="s">
        <v>72</v>
      </c>
      <c r="E8" s="14" t="s">
        <v>73</v>
      </c>
      <c r="F8" s="14" t="s">
        <v>65</v>
      </c>
      <c r="G8" s="14" t="s">
        <v>74</v>
      </c>
      <c r="H8" s="32" t="s">
        <v>67</v>
      </c>
      <c r="I8" s="33" t="s">
        <v>32</v>
      </c>
      <c r="J8" s="14" t="s">
        <v>75</v>
      </c>
      <c r="K8" s="34" t="s">
        <v>69</v>
      </c>
      <c r="L8" s="29" t="s">
        <v>70</v>
      </c>
      <c r="M8" s="35" t="s">
        <v>71</v>
      </c>
    </row>
    <row r="9" customFormat="false" ht="55.5" hidden="false" customHeight="true" outlineLevel="0" collapsed="false">
      <c r="B9" s="29" t="n">
        <v>3</v>
      </c>
      <c r="C9" s="30" t="s">
        <v>62</v>
      </c>
      <c r="D9" s="31" t="s">
        <v>76</v>
      </c>
      <c r="E9" s="14" t="s">
        <v>77</v>
      </c>
      <c r="F9" s="14" t="s">
        <v>65</v>
      </c>
      <c r="G9" s="14" t="s">
        <v>78</v>
      </c>
      <c r="H9" s="32" t="s">
        <v>67</v>
      </c>
      <c r="I9" s="33" t="s">
        <v>32</v>
      </c>
      <c r="J9" s="14" t="s">
        <v>79</v>
      </c>
      <c r="K9" s="34" t="s">
        <v>69</v>
      </c>
      <c r="L9" s="29" t="s">
        <v>70</v>
      </c>
      <c r="M9" s="35" t="s">
        <v>80</v>
      </c>
    </row>
    <row r="10" customFormat="false" ht="55.5" hidden="false" customHeight="true" outlineLevel="0" collapsed="false">
      <c r="B10" s="29" t="n">
        <v>4</v>
      </c>
      <c r="C10" s="30" t="s">
        <v>62</v>
      </c>
      <c r="D10" s="31" t="s">
        <v>81</v>
      </c>
      <c r="E10" s="14" t="s">
        <v>82</v>
      </c>
      <c r="F10" s="14" t="s">
        <v>83</v>
      </c>
      <c r="G10" s="14" t="s">
        <v>84</v>
      </c>
      <c r="H10" s="32" t="s">
        <v>67</v>
      </c>
      <c r="I10" s="36" t="s">
        <v>21</v>
      </c>
      <c r="J10" s="14" t="s">
        <v>85</v>
      </c>
      <c r="K10" s="37" t="s">
        <v>86</v>
      </c>
      <c r="L10" s="29" t="s">
        <v>70</v>
      </c>
      <c r="M10" s="35" t="s">
        <v>87</v>
      </c>
    </row>
    <row r="11" customFormat="false" ht="55.5" hidden="false" customHeight="true" outlineLevel="0" collapsed="false">
      <c r="B11" s="29" t="n">
        <v>5</v>
      </c>
      <c r="C11" s="30" t="s">
        <v>62</v>
      </c>
      <c r="D11" s="31" t="s">
        <v>88</v>
      </c>
      <c r="E11" s="14" t="s">
        <v>89</v>
      </c>
      <c r="F11" s="14" t="s">
        <v>90</v>
      </c>
      <c r="G11" s="14" t="s">
        <v>91</v>
      </c>
      <c r="H11" s="32" t="s">
        <v>67</v>
      </c>
      <c r="I11" s="38" t="s">
        <v>23</v>
      </c>
      <c r="J11" s="14" t="s">
        <v>92</v>
      </c>
      <c r="K11" s="34" t="s">
        <v>69</v>
      </c>
      <c r="L11" s="29" t="s">
        <v>70</v>
      </c>
      <c r="M11" s="35" t="s">
        <v>87</v>
      </c>
    </row>
    <row r="12" customFormat="false" ht="55.5" hidden="false" customHeight="true" outlineLevel="0" collapsed="false">
      <c r="B12" s="29" t="n">
        <v>6</v>
      </c>
      <c r="C12" s="30" t="s">
        <v>62</v>
      </c>
      <c r="D12" s="31" t="s">
        <v>93</v>
      </c>
      <c r="E12" s="14" t="s">
        <v>94</v>
      </c>
      <c r="F12" s="14" t="s">
        <v>95</v>
      </c>
      <c r="G12" s="14" t="s">
        <v>96</v>
      </c>
      <c r="H12" s="32" t="s">
        <v>97</v>
      </c>
      <c r="I12" s="33" t="s">
        <v>32</v>
      </c>
      <c r="J12" s="14" t="s">
        <v>98</v>
      </c>
      <c r="K12" s="37" t="s">
        <v>86</v>
      </c>
      <c r="L12" s="29" t="s">
        <v>70</v>
      </c>
      <c r="M12" s="35" t="s">
        <v>99</v>
      </c>
    </row>
    <row r="13" customFormat="false" ht="55.5" hidden="false" customHeight="true" outlineLevel="0" collapsed="false">
      <c r="B13" s="29" t="n">
        <v>7</v>
      </c>
      <c r="C13" s="30" t="s">
        <v>62</v>
      </c>
      <c r="D13" s="31" t="s">
        <v>100</v>
      </c>
      <c r="E13" s="14" t="s">
        <v>101</v>
      </c>
      <c r="F13" s="14" t="s">
        <v>102</v>
      </c>
      <c r="G13" s="14" t="s">
        <v>103</v>
      </c>
      <c r="H13" s="32" t="s">
        <v>97</v>
      </c>
      <c r="I13" s="33" t="s">
        <v>32</v>
      </c>
      <c r="J13" s="14" t="s">
        <v>104</v>
      </c>
      <c r="K13" s="37" t="s">
        <v>86</v>
      </c>
      <c r="L13" s="29" t="s">
        <v>70</v>
      </c>
      <c r="M13" s="35" t="s">
        <v>105</v>
      </c>
    </row>
    <row r="14" customFormat="false" ht="55.5" hidden="false" customHeight="true" outlineLevel="0" collapsed="false">
      <c r="B14" s="29" t="n">
        <v>8</v>
      </c>
      <c r="C14" s="30" t="s">
        <v>62</v>
      </c>
      <c r="D14" s="31" t="s">
        <v>106</v>
      </c>
      <c r="E14" s="14" t="s">
        <v>107</v>
      </c>
      <c r="F14" s="14" t="s">
        <v>108</v>
      </c>
      <c r="G14" s="14" t="s">
        <v>109</v>
      </c>
      <c r="H14" s="32" t="s">
        <v>110</v>
      </c>
      <c r="I14" s="33" t="s">
        <v>32</v>
      </c>
      <c r="J14" s="14" t="s">
        <v>111</v>
      </c>
      <c r="K14" s="37" t="s">
        <v>86</v>
      </c>
      <c r="L14" s="29" t="s">
        <v>70</v>
      </c>
      <c r="M14" s="35" t="s">
        <v>112</v>
      </c>
    </row>
    <row r="15" customFormat="false" ht="55.5" hidden="false" customHeight="true" outlineLevel="0" collapsed="false">
      <c r="B15" s="29" t="n">
        <v>9</v>
      </c>
      <c r="C15" s="30" t="s">
        <v>113</v>
      </c>
      <c r="D15" s="31" t="s">
        <v>114</v>
      </c>
      <c r="E15" s="14" t="s">
        <v>115</v>
      </c>
      <c r="F15" s="14" t="s">
        <v>116</v>
      </c>
      <c r="G15" s="14" t="s">
        <v>117</v>
      </c>
      <c r="H15" s="32" t="s">
        <v>118</v>
      </c>
      <c r="I15" s="33" t="s">
        <v>32</v>
      </c>
      <c r="J15" s="14" t="s">
        <v>119</v>
      </c>
      <c r="K15" s="39" t="s">
        <v>120</v>
      </c>
      <c r="L15" s="29" t="s">
        <v>70</v>
      </c>
      <c r="M15" s="35" t="s">
        <v>121</v>
      </c>
    </row>
    <row r="16" customFormat="false" ht="55.5" hidden="false" customHeight="true" outlineLevel="0" collapsed="false">
      <c r="B16" s="29" t="n">
        <v>10</v>
      </c>
      <c r="C16" s="30" t="s">
        <v>113</v>
      </c>
      <c r="D16" s="31" t="s">
        <v>122</v>
      </c>
      <c r="E16" s="14" t="s">
        <v>123</v>
      </c>
      <c r="F16" s="14" t="s">
        <v>124</v>
      </c>
      <c r="G16" s="14" t="s">
        <v>125</v>
      </c>
      <c r="H16" s="32" t="s">
        <v>126</v>
      </c>
      <c r="I16" s="33" t="s">
        <v>32</v>
      </c>
      <c r="J16" s="14" t="s">
        <v>127</v>
      </c>
      <c r="K16" s="34" t="s">
        <v>69</v>
      </c>
      <c r="L16" s="29" t="s">
        <v>70</v>
      </c>
      <c r="M16" s="35" t="s">
        <v>121</v>
      </c>
    </row>
    <row r="17" customFormat="false" ht="55.5" hidden="false" customHeight="true" outlineLevel="0" collapsed="false">
      <c r="B17" s="29" t="n">
        <v>11</v>
      </c>
      <c r="C17" s="30" t="s">
        <v>113</v>
      </c>
      <c r="D17" s="31" t="s">
        <v>128</v>
      </c>
      <c r="E17" s="14" t="s">
        <v>129</v>
      </c>
      <c r="F17" s="14" t="s">
        <v>130</v>
      </c>
      <c r="G17" s="14" t="s">
        <v>131</v>
      </c>
      <c r="H17" s="32" t="s">
        <v>132</v>
      </c>
      <c r="I17" s="38" t="s">
        <v>23</v>
      </c>
      <c r="J17" s="14" t="s">
        <v>133</v>
      </c>
      <c r="K17" s="39" t="s">
        <v>120</v>
      </c>
      <c r="L17" s="29" t="s">
        <v>70</v>
      </c>
      <c r="M17" s="35" t="s">
        <v>134</v>
      </c>
    </row>
    <row r="18" customFormat="false" ht="55.5" hidden="false" customHeight="true" outlineLevel="0" collapsed="false">
      <c r="B18" s="29" t="n">
        <v>12</v>
      </c>
      <c r="C18" s="30" t="s">
        <v>113</v>
      </c>
      <c r="D18" s="31" t="s">
        <v>135</v>
      </c>
      <c r="E18" s="14" t="s">
        <v>136</v>
      </c>
      <c r="F18" s="14" t="s">
        <v>137</v>
      </c>
      <c r="G18" s="14" t="s">
        <v>138</v>
      </c>
      <c r="H18" s="32" t="s">
        <v>67</v>
      </c>
      <c r="I18" s="36" t="s">
        <v>21</v>
      </c>
      <c r="J18" s="14" t="s">
        <v>139</v>
      </c>
      <c r="K18" s="37" t="s">
        <v>86</v>
      </c>
      <c r="L18" s="29" t="s">
        <v>70</v>
      </c>
      <c r="M18" s="35" t="s">
        <v>121</v>
      </c>
    </row>
    <row r="19" customFormat="false" ht="55.5" hidden="false" customHeight="true" outlineLevel="0" collapsed="false">
      <c r="B19" s="29" t="n">
        <v>13</v>
      </c>
      <c r="C19" s="30" t="s">
        <v>140</v>
      </c>
      <c r="D19" s="31" t="s">
        <v>141</v>
      </c>
      <c r="E19" s="14" t="s">
        <v>142</v>
      </c>
      <c r="F19" s="14" t="s">
        <v>143</v>
      </c>
      <c r="G19" s="14" t="s">
        <v>144</v>
      </c>
      <c r="H19" s="32" t="s">
        <v>145</v>
      </c>
      <c r="I19" s="36" t="s">
        <v>21</v>
      </c>
      <c r="J19" s="14" t="s">
        <v>146</v>
      </c>
      <c r="K19" s="37" t="s">
        <v>86</v>
      </c>
      <c r="L19" s="29" t="s">
        <v>70</v>
      </c>
      <c r="M19" s="35" t="s">
        <v>147</v>
      </c>
    </row>
    <row r="20" customFormat="false" ht="55.5" hidden="false" customHeight="true" outlineLevel="0" collapsed="false">
      <c r="B20" s="29" t="n">
        <v>14</v>
      </c>
      <c r="C20" s="30" t="s">
        <v>140</v>
      </c>
      <c r="D20" s="31" t="s">
        <v>148</v>
      </c>
      <c r="E20" s="14" t="s">
        <v>149</v>
      </c>
      <c r="F20" s="14" t="s">
        <v>150</v>
      </c>
      <c r="G20" s="14" t="s">
        <v>151</v>
      </c>
      <c r="H20" s="32" t="s">
        <v>152</v>
      </c>
      <c r="I20" s="36" t="s">
        <v>21</v>
      </c>
      <c r="J20" s="14" t="s">
        <v>153</v>
      </c>
      <c r="K20" s="37" t="s">
        <v>86</v>
      </c>
      <c r="L20" s="29" t="s">
        <v>70</v>
      </c>
      <c r="M20" s="35" t="s">
        <v>154</v>
      </c>
    </row>
    <row r="21" customFormat="false" ht="55.5" hidden="false" customHeight="true" outlineLevel="0" collapsed="false">
      <c r="B21" s="29" t="n">
        <v>15</v>
      </c>
      <c r="C21" s="30" t="s">
        <v>140</v>
      </c>
      <c r="D21" s="31" t="s">
        <v>155</v>
      </c>
      <c r="E21" s="14" t="s">
        <v>156</v>
      </c>
      <c r="F21" s="14" t="s">
        <v>157</v>
      </c>
      <c r="G21" s="14" t="s">
        <v>158</v>
      </c>
      <c r="H21" s="32" t="s">
        <v>67</v>
      </c>
      <c r="I21" s="36" t="s">
        <v>21</v>
      </c>
      <c r="J21" s="14" t="s">
        <v>159</v>
      </c>
      <c r="K21" s="37" t="s">
        <v>86</v>
      </c>
      <c r="L21" s="29" t="s">
        <v>70</v>
      </c>
      <c r="M21" s="35" t="s">
        <v>160</v>
      </c>
    </row>
    <row r="22" customFormat="false" ht="55.5" hidden="false" customHeight="true" outlineLevel="0" collapsed="false">
      <c r="B22" s="29" t="n">
        <v>16</v>
      </c>
      <c r="C22" s="30" t="s">
        <v>140</v>
      </c>
      <c r="D22" s="31" t="s">
        <v>161</v>
      </c>
      <c r="E22" s="14" t="s">
        <v>162</v>
      </c>
      <c r="F22" s="14" t="s">
        <v>163</v>
      </c>
      <c r="G22" s="14" t="s">
        <v>164</v>
      </c>
      <c r="H22" s="32" t="s">
        <v>67</v>
      </c>
      <c r="I22" s="36" t="s">
        <v>21</v>
      </c>
      <c r="J22" s="14" t="s">
        <v>165</v>
      </c>
      <c r="K22" s="37" t="s">
        <v>86</v>
      </c>
      <c r="L22" s="29" t="s">
        <v>70</v>
      </c>
      <c r="M22" s="35" t="s">
        <v>166</v>
      </c>
    </row>
    <row r="23" customFormat="false" ht="55.5" hidden="false" customHeight="true" outlineLevel="0" collapsed="false">
      <c r="B23" s="29" t="n">
        <v>17</v>
      </c>
      <c r="C23" s="30" t="s">
        <v>140</v>
      </c>
      <c r="D23" s="31" t="s">
        <v>167</v>
      </c>
      <c r="E23" s="14" t="s">
        <v>168</v>
      </c>
      <c r="F23" s="14" t="s">
        <v>169</v>
      </c>
      <c r="G23" s="14" t="s">
        <v>170</v>
      </c>
      <c r="H23" s="32" t="s">
        <v>67</v>
      </c>
      <c r="I23" s="36" t="s">
        <v>21</v>
      </c>
      <c r="J23" s="14" t="s">
        <v>171</v>
      </c>
      <c r="K23" s="37" t="s">
        <v>86</v>
      </c>
      <c r="L23" s="29" t="s">
        <v>70</v>
      </c>
      <c r="M23" s="35" t="s">
        <v>172</v>
      </c>
    </row>
    <row r="24" customFormat="false" ht="55.5" hidden="false" customHeight="true" outlineLevel="0" collapsed="false">
      <c r="B24" s="29" t="n">
        <v>18</v>
      </c>
      <c r="C24" s="30" t="s">
        <v>140</v>
      </c>
      <c r="D24" s="31" t="s">
        <v>173</v>
      </c>
      <c r="E24" s="14" t="s">
        <v>174</v>
      </c>
      <c r="F24" s="14" t="s">
        <v>175</v>
      </c>
      <c r="G24" s="14" t="s">
        <v>176</v>
      </c>
      <c r="H24" s="32" t="s">
        <v>67</v>
      </c>
      <c r="I24" s="38" t="s">
        <v>23</v>
      </c>
      <c r="J24" s="14" t="s">
        <v>177</v>
      </c>
      <c r="K24" s="39" t="s">
        <v>120</v>
      </c>
      <c r="L24" s="29" t="s">
        <v>70</v>
      </c>
      <c r="M24" s="35" t="s">
        <v>178</v>
      </c>
    </row>
    <row r="25" customFormat="false" ht="55.5" hidden="false" customHeight="true" outlineLevel="0" collapsed="false">
      <c r="B25" s="29" t="n">
        <v>19</v>
      </c>
      <c r="C25" s="30" t="s">
        <v>140</v>
      </c>
      <c r="D25" s="31" t="s">
        <v>179</v>
      </c>
      <c r="E25" s="14" t="s">
        <v>180</v>
      </c>
      <c r="F25" s="14" t="s">
        <v>181</v>
      </c>
      <c r="G25" s="14" t="s">
        <v>182</v>
      </c>
      <c r="H25" s="32" t="s">
        <v>183</v>
      </c>
      <c r="I25" s="40" t="s">
        <v>25</v>
      </c>
      <c r="J25" s="14" t="s">
        <v>184</v>
      </c>
      <c r="K25" s="34" t="s">
        <v>69</v>
      </c>
      <c r="L25" s="29" t="s">
        <v>70</v>
      </c>
      <c r="M25" s="35" t="s">
        <v>185</v>
      </c>
    </row>
    <row r="26" customFormat="false" ht="55.5" hidden="false" customHeight="true" outlineLevel="0" collapsed="false">
      <c r="B26" s="29" t="n">
        <v>20</v>
      </c>
      <c r="C26" s="30" t="s">
        <v>140</v>
      </c>
      <c r="D26" s="31" t="s">
        <v>186</v>
      </c>
      <c r="E26" s="14" t="s">
        <v>187</v>
      </c>
      <c r="F26" s="14" t="s">
        <v>188</v>
      </c>
      <c r="G26" s="14" t="s">
        <v>189</v>
      </c>
      <c r="H26" s="32" t="s">
        <v>190</v>
      </c>
      <c r="I26" s="33" t="s">
        <v>32</v>
      </c>
      <c r="J26" s="14" t="s">
        <v>191</v>
      </c>
      <c r="K26" s="34" t="s">
        <v>69</v>
      </c>
      <c r="L26" s="29" t="s">
        <v>70</v>
      </c>
      <c r="M26" s="35" t="s">
        <v>192</v>
      </c>
    </row>
    <row r="27" customFormat="false" ht="55.5" hidden="false" customHeight="true" outlineLevel="0" collapsed="false">
      <c r="B27" s="29" t="n">
        <v>21</v>
      </c>
      <c r="C27" s="30" t="s">
        <v>193</v>
      </c>
      <c r="D27" s="31" t="s">
        <v>194</v>
      </c>
      <c r="E27" s="14" t="s">
        <v>195</v>
      </c>
      <c r="F27" s="14" t="s">
        <v>196</v>
      </c>
      <c r="G27" s="14" t="s">
        <v>197</v>
      </c>
      <c r="H27" s="32" t="s">
        <v>67</v>
      </c>
      <c r="I27" s="36" t="s">
        <v>21</v>
      </c>
      <c r="J27" s="14" t="s">
        <v>198</v>
      </c>
      <c r="K27" s="37" t="s">
        <v>86</v>
      </c>
      <c r="L27" s="29" t="s">
        <v>70</v>
      </c>
      <c r="M27" s="35" t="s">
        <v>199</v>
      </c>
    </row>
    <row r="28" customFormat="false" ht="55.5" hidden="false" customHeight="true" outlineLevel="0" collapsed="false">
      <c r="B28" s="29" t="n">
        <v>22</v>
      </c>
      <c r="C28" s="30" t="s">
        <v>193</v>
      </c>
      <c r="D28" s="31" t="s">
        <v>200</v>
      </c>
      <c r="E28" s="14" t="s">
        <v>201</v>
      </c>
      <c r="F28" s="14" t="s">
        <v>202</v>
      </c>
      <c r="G28" s="14" t="s">
        <v>203</v>
      </c>
      <c r="H28" s="32" t="s">
        <v>204</v>
      </c>
      <c r="I28" s="36" t="s">
        <v>21</v>
      </c>
      <c r="J28" s="14" t="s">
        <v>205</v>
      </c>
      <c r="K28" s="37" t="s">
        <v>86</v>
      </c>
      <c r="L28" s="29" t="s">
        <v>70</v>
      </c>
      <c r="M28" s="35" t="s">
        <v>206</v>
      </c>
    </row>
    <row r="29" customFormat="false" ht="55.5" hidden="false" customHeight="true" outlineLevel="0" collapsed="false">
      <c r="B29" s="29" t="n">
        <v>23</v>
      </c>
      <c r="C29" s="30" t="s">
        <v>193</v>
      </c>
      <c r="D29" s="31" t="s">
        <v>207</v>
      </c>
      <c r="E29" s="14" t="s">
        <v>208</v>
      </c>
      <c r="F29" s="14" t="s">
        <v>209</v>
      </c>
      <c r="G29" s="14" t="s">
        <v>210</v>
      </c>
      <c r="H29" s="32" t="s">
        <v>67</v>
      </c>
      <c r="I29" s="36" t="s">
        <v>21</v>
      </c>
      <c r="J29" s="14" t="s">
        <v>211</v>
      </c>
      <c r="K29" s="37" t="s">
        <v>86</v>
      </c>
      <c r="L29" s="29" t="s">
        <v>70</v>
      </c>
      <c r="M29" s="35" t="s">
        <v>206</v>
      </c>
    </row>
    <row r="30" customFormat="false" ht="55.5" hidden="false" customHeight="true" outlineLevel="0" collapsed="false">
      <c r="B30" s="29" t="n">
        <v>24</v>
      </c>
      <c r="C30" s="30" t="s">
        <v>193</v>
      </c>
      <c r="D30" s="31" t="s">
        <v>212</v>
      </c>
      <c r="E30" s="14" t="s">
        <v>213</v>
      </c>
      <c r="F30" s="14" t="s">
        <v>214</v>
      </c>
      <c r="G30" s="14" t="s">
        <v>215</v>
      </c>
      <c r="H30" s="32" t="s">
        <v>216</v>
      </c>
      <c r="I30" s="36" t="s">
        <v>21</v>
      </c>
      <c r="J30" s="14" t="s">
        <v>217</v>
      </c>
      <c r="K30" s="37" t="s">
        <v>86</v>
      </c>
      <c r="L30" s="29" t="s">
        <v>70</v>
      </c>
      <c r="M30" s="35" t="s">
        <v>218</v>
      </c>
    </row>
    <row r="31" customFormat="false" ht="55.5" hidden="false" customHeight="true" outlineLevel="0" collapsed="false">
      <c r="B31" s="29" t="n">
        <v>25</v>
      </c>
      <c r="C31" s="30" t="s">
        <v>193</v>
      </c>
      <c r="D31" s="31" t="s">
        <v>219</v>
      </c>
      <c r="E31" s="14" t="s">
        <v>220</v>
      </c>
      <c r="F31" s="14" t="s">
        <v>221</v>
      </c>
      <c r="G31" s="14" t="s">
        <v>222</v>
      </c>
      <c r="H31" s="32" t="s">
        <v>67</v>
      </c>
      <c r="I31" s="36" t="s">
        <v>21</v>
      </c>
      <c r="J31" s="14" t="s">
        <v>223</v>
      </c>
      <c r="K31" s="37" t="s">
        <v>86</v>
      </c>
      <c r="L31" s="29" t="s">
        <v>70</v>
      </c>
      <c r="M31" s="35" t="s">
        <v>224</v>
      </c>
    </row>
    <row r="32" customFormat="false" ht="55.5" hidden="false" customHeight="true" outlineLevel="0" collapsed="false">
      <c r="B32" s="29" t="n">
        <v>26</v>
      </c>
      <c r="C32" s="30" t="s">
        <v>193</v>
      </c>
      <c r="D32" s="31" t="s">
        <v>225</v>
      </c>
      <c r="E32" s="14" t="s">
        <v>226</v>
      </c>
      <c r="F32" s="14" t="s">
        <v>227</v>
      </c>
      <c r="G32" s="14" t="s">
        <v>228</v>
      </c>
      <c r="H32" s="32" t="s">
        <v>67</v>
      </c>
      <c r="I32" s="33" t="s">
        <v>32</v>
      </c>
      <c r="J32" s="14" t="s">
        <v>229</v>
      </c>
      <c r="K32" s="37" t="s">
        <v>86</v>
      </c>
      <c r="L32" s="29" t="s">
        <v>70</v>
      </c>
      <c r="M32" s="35" t="s">
        <v>230</v>
      </c>
    </row>
    <row r="33" customFormat="false" ht="55.5" hidden="false" customHeight="true" outlineLevel="0" collapsed="false">
      <c r="B33" s="29" t="n">
        <v>27</v>
      </c>
      <c r="C33" s="30" t="s">
        <v>231</v>
      </c>
      <c r="D33" s="31" t="s">
        <v>232</v>
      </c>
      <c r="E33" s="14" t="s">
        <v>233</v>
      </c>
      <c r="F33" s="14" t="s">
        <v>234</v>
      </c>
      <c r="G33" s="14" t="s">
        <v>235</v>
      </c>
      <c r="H33" s="32" t="s">
        <v>67</v>
      </c>
      <c r="I33" s="36" t="s">
        <v>21</v>
      </c>
      <c r="J33" s="14" t="s">
        <v>236</v>
      </c>
      <c r="K33" s="37" t="s">
        <v>86</v>
      </c>
      <c r="L33" s="29" t="s">
        <v>70</v>
      </c>
      <c r="M33" s="35" t="s">
        <v>237</v>
      </c>
    </row>
    <row r="34" customFormat="false" ht="55.5" hidden="false" customHeight="true" outlineLevel="0" collapsed="false">
      <c r="B34" s="29" t="n">
        <v>28</v>
      </c>
      <c r="C34" s="30" t="s">
        <v>231</v>
      </c>
      <c r="D34" s="31" t="s">
        <v>238</v>
      </c>
      <c r="E34" s="14" t="s">
        <v>239</v>
      </c>
      <c r="F34" s="14" t="s">
        <v>240</v>
      </c>
      <c r="G34" s="14" t="s">
        <v>241</v>
      </c>
      <c r="H34" s="32" t="s">
        <v>67</v>
      </c>
      <c r="I34" s="36" t="s">
        <v>21</v>
      </c>
      <c r="J34" s="14" t="s">
        <v>242</v>
      </c>
      <c r="K34" s="37" t="s">
        <v>86</v>
      </c>
      <c r="L34" s="29" t="s">
        <v>70</v>
      </c>
      <c r="M34" s="35" t="s">
        <v>243</v>
      </c>
    </row>
    <row r="35" customFormat="false" ht="55.5" hidden="false" customHeight="true" outlineLevel="0" collapsed="false">
      <c r="B35" s="29" t="n">
        <v>29</v>
      </c>
      <c r="C35" s="30" t="s">
        <v>231</v>
      </c>
      <c r="D35" s="31" t="s">
        <v>244</v>
      </c>
      <c r="E35" s="14" t="s">
        <v>245</v>
      </c>
      <c r="F35" s="14" t="s">
        <v>246</v>
      </c>
      <c r="G35" s="14" t="s">
        <v>247</v>
      </c>
      <c r="H35" s="32" t="s">
        <v>67</v>
      </c>
      <c r="I35" s="38" t="s">
        <v>23</v>
      </c>
      <c r="J35" s="14" t="s">
        <v>248</v>
      </c>
      <c r="K35" s="34" t="s">
        <v>69</v>
      </c>
      <c r="L35" s="29" t="s">
        <v>70</v>
      </c>
      <c r="M35" s="35" t="s">
        <v>249</v>
      </c>
    </row>
    <row r="36" customFormat="false" ht="55.5" hidden="false" customHeight="true" outlineLevel="0" collapsed="false">
      <c r="B36" s="29" t="n">
        <v>30</v>
      </c>
      <c r="C36" s="30" t="s">
        <v>231</v>
      </c>
      <c r="D36" s="31" t="s">
        <v>250</v>
      </c>
      <c r="E36" s="14" t="s">
        <v>251</v>
      </c>
      <c r="F36" s="14" t="s">
        <v>252</v>
      </c>
      <c r="G36" s="14" t="s">
        <v>253</v>
      </c>
      <c r="H36" s="32" t="s">
        <v>254</v>
      </c>
      <c r="I36" s="38" t="s">
        <v>23</v>
      </c>
      <c r="J36" s="14" t="s">
        <v>255</v>
      </c>
      <c r="K36" s="34" t="s">
        <v>69</v>
      </c>
      <c r="L36" s="29" t="s">
        <v>70</v>
      </c>
      <c r="M36" s="35" t="s">
        <v>256</v>
      </c>
    </row>
    <row r="37" customFormat="false" ht="55.5" hidden="false" customHeight="true" outlineLevel="0" collapsed="false">
      <c r="B37" s="29" t="n">
        <v>31</v>
      </c>
      <c r="C37" s="30" t="s">
        <v>231</v>
      </c>
      <c r="D37" s="31" t="s">
        <v>257</v>
      </c>
      <c r="E37" s="14" t="s">
        <v>258</v>
      </c>
      <c r="F37" s="14" t="s">
        <v>259</v>
      </c>
      <c r="G37" s="14" t="s">
        <v>260</v>
      </c>
      <c r="H37" s="32" t="s">
        <v>67</v>
      </c>
      <c r="I37" s="38" t="s">
        <v>23</v>
      </c>
      <c r="J37" s="14" t="s">
        <v>261</v>
      </c>
      <c r="K37" s="34" t="s">
        <v>69</v>
      </c>
      <c r="L37" s="29" t="s">
        <v>70</v>
      </c>
      <c r="M37" s="35" t="s">
        <v>262</v>
      </c>
    </row>
    <row r="38" customFormat="false" ht="55.5" hidden="false" customHeight="true" outlineLevel="0" collapsed="false">
      <c r="B38" s="29" t="n">
        <v>32</v>
      </c>
      <c r="C38" s="30" t="s">
        <v>231</v>
      </c>
      <c r="D38" s="31" t="s">
        <v>263</v>
      </c>
      <c r="E38" s="14" t="s">
        <v>264</v>
      </c>
      <c r="F38" s="14" t="s">
        <v>265</v>
      </c>
      <c r="G38" s="14" t="s">
        <v>266</v>
      </c>
      <c r="H38" s="32" t="s">
        <v>267</v>
      </c>
      <c r="I38" s="33" t="s">
        <v>32</v>
      </c>
      <c r="J38" s="14" t="s">
        <v>268</v>
      </c>
      <c r="K38" s="34" t="s">
        <v>69</v>
      </c>
      <c r="L38" s="29" t="s">
        <v>70</v>
      </c>
      <c r="M38" s="35" t="s">
        <v>249</v>
      </c>
    </row>
    <row r="39" customFormat="false" ht="55.5" hidden="false" customHeight="true" outlineLevel="0" collapsed="false">
      <c r="B39" s="29" t="n">
        <v>33</v>
      </c>
      <c r="C39" s="30" t="s">
        <v>231</v>
      </c>
      <c r="D39" s="31" t="s">
        <v>269</v>
      </c>
      <c r="E39" s="14" t="s">
        <v>270</v>
      </c>
      <c r="F39" s="14" t="s">
        <v>271</v>
      </c>
      <c r="G39" s="14" t="s">
        <v>272</v>
      </c>
      <c r="H39" s="32" t="s">
        <v>67</v>
      </c>
      <c r="I39" s="38" t="s">
        <v>23</v>
      </c>
      <c r="J39" s="14" t="s">
        <v>273</v>
      </c>
      <c r="K39" s="34" t="s">
        <v>69</v>
      </c>
      <c r="L39" s="29" t="s">
        <v>70</v>
      </c>
      <c r="M39" s="35" t="s">
        <v>256</v>
      </c>
    </row>
    <row r="40" customFormat="false" ht="55.5" hidden="false" customHeight="true" outlineLevel="0" collapsed="false">
      <c r="B40" s="29" t="n">
        <v>34</v>
      </c>
      <c r="C40" s="30" t="s">
        <v>231</v>
      </c>
      <c r="D40" s="31" t="s">
        <v>274</v>
      </c>
      <c r="E40" s="14" t="s">
        <v>275</v>
      </c>
      <c r="F40" s="14" t="s">
        <v>276</v>
      </c>
      <c r="G40" s="14" t="s">
        <v>277</v>
      </c>
      <c r="H40" s="32" t="s">
        <v>67</v>
      </c>
      <c r="I40" s="33" t="s">
        <v>32</v>
      </c>
      <c r="J40" s="14" t="s">
        <v>278</v>
      </c>
      <c r="K40" s="34" t="s">
        <v>69</v>
      </c>
      <c r="L40" s="29" t="s">
        <v>70</v>
      </c>
      <c r="M40" s="35" t="s">
        <v>112</v>
      </c>
    </row>
    <row r="41" customFormat="false" ht="55.5" hidden="false" customHeight="true" outlineLevel="0" collapsed="false">
      <c r="B41" s="29" t="n">
        <v>35</v>
      </c>
      <c r="C41" s="30" t="s">
        <v>231</v>
      </c>
      <c r="D41" s="31" t="s">
        <v>279</v>
      </c>
      <c r="E41" s="14" t="s">
        <v>280</v>
      </c>
      <c r="F41" s="14" t="s">
        <v>83</v>
      </c>
      <c r="G41" s="14" t="s">
        <v>281</v>
      </c>
      <c r="H41" s="32" t="s">
        <v>67</v>
      </c>
      <c r="I41" s="33" t="s">
        <v>32</v>
      </c>
      <c r="J41" s="14" t="s">
        <v>282</v>
      </c>
      <c r="K41" s="37" t="s">
        <v>86</v>
      </c>
      <c r="L41" s="29" t="s">
        <v>70</v>
      </c>
      <c r="M41" s="35" t="s">
        <v>87</v>
      </c>
    </row>
    <row r="42" customFormat="false" ht="55.5" hidden="false" customHeight="true" outlineLevel="0" collapsed="false">
      <c r="B42" s="29" t="n">
        <v>36</v>
      </c>
      <c r="C42" s="30" t="s">
        <v>231</v>
      </c>
      <c r="D42" s="31" t="s">
        <v>283</v>
      </c>
      <c r="E42" s="14" t="s">
        <v>284</v>
      </c>
      <c r="F42" s="14" t="s">
        <v>285</v>
      </c>
      <c r="G42" s="14" t="s">
        <v>286</v>
      </c>
      <c r="H42" s="32" t="s">
        <v>67</v>
      </c>
      <c r="I42" s="33" t="s">
        <v>32</v>
      </c>
      <c r="J42" s="14" t="s">
        <v>287</v>
      </c>
      <c r="K42" s="37" t="s">
        <v>86</v>
      </c>
      <c r="L42" s="29" t="s">
        <v>70</v>
      </c>
      <c r="M42" s="35" t="s">
        <v>243</v>
      </c>
    </row>
    <row r="43" customFormat="false" ht="55.5" hidden="false" customHeight="true" outlineLevel="0" collapsed="false">
      <c r="B43" s="29" t="n">
        <v>37</v>
      </c>
      <c r="C43" s="30" t="s">
        <v>231</v>
      </c>
      <c r="D43" s="31" t="s">
        <v>288</v>
      </c>
      <c r="E43" s="14" t="s">
        <v>289</v>
      </c>
      <c r="F43" s="14" t="s">
        <v>290</v>
      </c>
      <c r="G43" s="14" t="s">
        <v>291</v>
      </c>
      <c r="H43" s="32" t="s">
        <v>292</v>
      </c>
      <c r="I43" s="33" t="s">
        <v>32</v>
      </c>
      <c r="J43" s="14" t="s">
        <v>293</v>
      </c>
      <c r="K43" s="37" t="s">
        <v>86</v>
      </c>
      <c r="L43" s="29" t="s">
        <v>70</v>
      </c>
      <c r="M43" s="35" t="s">
        <v>112</v>
      </c>
    </row>
    <row r="44" customFormat="false" ht="55.5" hidden="false" customHeight="true" outlineLevel="0" collapsed="false">
      <c r="B44" s="29" t="n">
        <v>38</v>
      </c>
      <c r="C44" s="30" t="s">
        <v>231</v>
      </c>
      <c r="D44" s="31" t="s">
        <v>294</v>
      </c>
      <c r="E44" s="14" t="s">
        <v>295</v>
      </c>
      <c r="F44" s="14" t="s">
        <v>296</v>
      </c>
      <c r="G44" s="14" t="s">
        <v>297</v>
      </c>
      <c r="H44" s="32" t="s">
        <v>67</v>
      </c>
      <c r="I44" s="33" t="s">
        <v>32</v>
      </c>
      <c r="J44" s="14" t="s">
        <v>298</v>
      </c>
      <c r="K44" s="37" t="s">
        <v>86</v>
      </c>
      <c r="L44" s="29" t="s">
        <v>70</v>
      </c>
      <c r="M44" s="35" t="s">
        <v>237</v>
      </c>
    </row>
    <row r="45" customFormat="false" ht="55.5" hidden="false" customHeight="true" outlineLevel="0" collapsed="false">
      <c r="B45" s="29" t="n">
        <v>39</v>
      </c>
      <c r="C45" s="30" t="s">
        <v>231</v>
      </c>
      <c r="D45" s="31" t="s">
        <v>299</v>
      </c>
      <c r="E45" s="14" t="s">
        <v>300</v>
      </c>
      <c r="F45" s="14" t="s">
        <v>301</v>
      </c>
      <c r="G45" s="14" t="s">
        <v>302</v>
      </c>
      <c r="H45" s="32" t="s">
        <v>303</v>
      </c>
      <c r="I45" s="33" t="s">
        <v>32</v>
      </c>
      <c r="J45" s="14" t="s">
        <v>304</v>
      </c>
      <c r="K45" s="34" t="s">
        <v>69</v>
      </c>
      <c r="L45" s="29" t="s">
        <v>70</v>
      </c>
      <c r="M45" s="35" t="s">
        <v>305</v>
      </c>
    </row>
    <row r="46" customFormat="false" ht="55.5" hidden="false" customHeight="true" outlineLevel="0" collapsed="false">
      <c r="B46" s="29" t="n">
        <v>40</v>
      </c>
      <c r="C46" s="30" t="s">
        <v>231</v>
      </c>
      <c r="D46" s="31" t="s">
        <v>306</v>
      </c>
      <c r="E46" s="14" t="s">
        <v>307</v>
      </c>
      <c r="F46" s="14" t="s">
        <v>308</v>
      </c>
      <c r="G46" s="14" t="s">
        <v>309</v>
      </c>
      <c r="H46" s="32" t="s">
        <v>310</v>
      </c>
      <c r="I46" s="33" t="s">
        <v>32</v>
      </c>
      <c r="J46" s="14" t="s">
        <v>311</v>
      </c>
      <c r="K46" s="34" t="s">
        <v>69</v>
      </c>
      <c r="L46" s="29" t="s">
        <v>70</v>
      </c>
      <c r="M46" s="35" t="s">
        <v>87</v>
      </c>
    </row>
  </sheetData>
  <autoFilter ref="B6:M46"/>
  <mergeCells count="2">
    <mergeCell ref="B2:M2"/>
    <mergeCell ref="B4:M4"/>
  </mergeCells>
  <hyperlinks>
    <hyperlink ref="M7" r:id="rId1" display="https://asq.org/quality-resources/reliability"/>
    <hyperlink ref="M8" r:id="rId2" display="https://asq.org/quality-resources/reliability"/>
    <hyperlink ref="M9" r:id="rId3" display="https://asq.org/quality-resources/process-capability"/>
    <hyperlink ref="M10" r:id="rId4" display="https://www.ascm.org/learning-development/certifications-credentials/cpim/"/>
    <hyperlink ref="M11" r:id="rId5" display="https://www.ascm.org/learning-development/certifications-credentials/cpim/"/>
    <hyperlink ref="M12" r:id="rId6" display="https://www.lean.org/lexicon-terms/takt-time/"/>
    <hyperlink ref="M13" r:id="rId7" display="https://asq.org/quality-resources/cost-of-quality"/>
    <hyperlink ref="M14" r:id="rId8" display="https://www.imanet.org/career-resources/management-accounting-competency-framework"/>
    <hyperlink ref="M15" r:id="rId9" display="https://dart.deloitte.com/USDART/home/codification/revenue/asc606"/>
    <hyperlink ref="M16" r:id="rId10" display="https://dart.deloitte.com/USDART/home/codification/revenue/asc606"/>
    <hyperlink ref="M17" r:id="rId11" display="https://www.sec.gov/interps/account/sabcodet13.htm"/>
    <hyperlink ref="M18" r:id="rId12" display="https://dart.deloitte.com/USDART/home/codification/revenue/asc606"/>
    <hyperlink ref="M19" r:id="rId13" display="https://www.law.cornell.edu/uscode/text/26/472"/>
    <hyperlink ref="M20" r:id="rId14" display="https://www.sec.gov/interps/account/sabcodet5.htm"/>
    <hyperlink ref="M21" r:id="rId15" display="https://dart.deloitte.com/USDART/home/codification/leases/asc842"/>
    <hyperlink ref="M22" r:id="rId16" display="https://www.ecfr.gov/current/title-17/chapter-II/part-229/subpart-229.100/section-229.101"/>
    <hyperlink ref="M23" r:id="rId17" display="https://www.ecfr.gov/current/title-17/chapter-II/part-229/subpart-229.100/section-229.105"/>
    <hyperlink ref="M24" r:id="rId18" display="https://www.sec.gov/rules/final/2024/33-11275.pdf"/>
    <hyperlink ref="M25" r:id="rId19" display="https://asc.fasb.org/"/>
    <hyperlink ref="M26" r:id="rId20" display="https://www.ecfr.gov/current/title-17/chapter-II/part-229/subpart-229.1500/section-229.1502"/>
    <hyperlink ref="M27" r:id="rId21" display="https://www.ifrs.org/issued-standards/list-of-standards/ias-2-inventories/"/>
    <hyperlink ref="M28" r:id="rId22" display="https://www.ifrs.org/issued-standards/list-of-standards/ias-16-property-plant-and-equipment/"/>
    <hyperlink ref="M29" r:id="rId23" display="https://www.ifrs.org/issued-standards/list-of-standards/ias-16-property-plant-and-equipment/"/>
    <hyperlink ref="M30" r:id="rId24" display="https://www.ifrs.org/issued-standards/list-of-standards/ifrs-15-revenue-from-contracts-with-customers/"/>
    <hyperlink ref="M31" r:id="rId25" display="https://www.ifrs.org/issued-standards/list-of-standards/ifrs-16-leases/"/>
    <hyperlink ref="M33" r:id="rId26" display="https://www.federalreserve.gov/releases/g17/current/default.htm"/>
    <hyperlink ref="M34" r:id="rId27" display="https://pages.stern.nyu.edu/~adamodar/New_Home_Page/datafile/margin.html"/>
    <hyperlink ref="M35" r:id="rId28" display="https://www.census.gov/programs-surveys/asm.html"/>
    <hyperlink ref="M36" r:id="rId29" display="https://www.rmahq.org/annual-statement-studies/"/>
    <hyperlink ref="M37" r:id="rId30" display="https://asq.org/quality-resources/six-sigma"/>
    <hyperlink ref="M38" r:id="rId31" display="https://www.census.gov/programs-surveys/asm.html"/>
    <hyperlink ref="M39" r:id="rId32" display="https://www.rmahq.org/annual-statement-studies/"/>
    <hyperlink ref="M40" r:id="rId33" display="https://www.imanet.org/career-resources/management-accounting-competency-framework"/>
    <hyperlink ref="M41" r:id="rId34" display="https://www.ascm.org/learning-development/certifications-credentials/cpim/"/>
    <hyperlink ref="M42" r:id="rId35" display="https://pages.stern.nyu.edu/~adamodar/New_Home_Page/datafile/margin.html"/>
    <hyperlink ref="M43" r:id="rId36" display="https://www.imanet.org/career-resources/management-accounting-competency-framework"/>
    <hyperlink ref="M44" r:id="rId37" display="https://www.federalreserve.gov/releases/g17/current/default.htm"/>
    <hyperlink ref="M45" r:id="rId38" display="https://www.census.gov/naics/"/>
    <hyperlink ref="M46" r:id="rId39" display="https://www.ascm.org/learning-development/certifications-credentials/cpim/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4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I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7" topLeftCell="A8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2"/>
    <col collapsed="false" customWidth="true" hidden="false" outlineLevel="0" max="3" min="3" style="0" width="36"/>
    <col collapsed="false" customWidth="true" hidden="false" outlineLevel="0" max="8" min="4" style="0" width="14"/>
    <col collapsed="false" customWidth="true" hidden="false" outlineLevel="0" max="9" min="9" style="0" width="30"/>
  </cols>
  <sheetData>
    <row r="1" customFormat="false" ht="7.5" hidden="false" customHeight="true" outlineLevel="0" collapsed="false"/>
    <row r="2" customFormat="false" ht="27.75" hidden="false" customHeight="true" outlineLevel="0" collapsed="false">
      <c r="B2" s="27" t="s">
        <v>312</v>
      </c>
      <c r="C2" s="27"/>
      <c r="D2" s="27"/>
      <c r="E2" s="27"/>
      <c r="F2" s="27"/>
      <c r="G2" s="27"/>
      <c r="H2" s="27"/>
      <c r="I2" s="27"/>
    </row>
    <row r="4" customFormat="false" ht="17.35" hidden="false" customHeight="false" outlineLevel="0" collapsed="false">
      <c r="B4" s="2" t="s">
        <v>313</v>
      </c>
      <c r="C4" s="2"/>
      <c r="D4" s="2"/>
      <c r="E4" s="2"/>
      <c r="F4" s="2"/>
      <c r="G4" s="2"/>
      <c r="H4" s="2"/>
      <c r="I4" s="2"/>
    </row>
    <row r="5" customFormat="false" ht="15" hidden="false" customHeight="false" outlineLevel="0" collapsed="false">
      <c r="B5" s="3" t="s">
        <v>314</v>
      </c>
      <c r="C5" s="3"/>
      <c r="D5" s="3"/>
      <c r="E5" s="3"/>
      <c r="F5" s="3"/>
      <c r="G5" s="3"/>
      <c r="H5" s="3"/>
      <c r="I5" s="3"/>
    </row>
    <row r="7" customFormat="false" ht="31.5" hidden="false" customHeight="true" outlineLevel="0" collapsed="false">
      <c r="B7" s="28" t="s">
        <v>4</v>
      </c>
      <c r="C7" s="28" t="s">
        <v>315</v>
      </c>
      <c r="D7" s="28" t="s">
        <v>316</v>
      </c>
      <c r="E7" s="28" t="s">
        <v>317</v>
      </c>
      <c r="F7" s="28" t="s">
        <v>318</v>
      </c>
      <c r="G7" s="28" t="s">
        <v>319</v>
      </c>
      <c r="H7" s="28" t="s">
        <v>320</v>
      </c>
      <c r="I7" s="28" t="s">
        <v>321</v>
      </c>
    </row>
    <row r="8" customFormat="false" ht="36" hidden="false" customHeight="true" outlineLevel="0" collapsed="false">
      <c r="B8" s="41" t="s">
        <v>322</v>
      </c>
      <c r="C8" s="6" t="s">
        <v>323</v>
      </c>
      <c r="D8" s="42" t="s">
        <v>324</v>
      </c>
      <c r="E8" s="42" t="s">
        <v>324</v>
      </c>
      <c r="F8" s="42" t="s">
        <v>324</v>
      </c>
      <c r="G8" s="42" t="s">
        <v>324</v>
      </c>
      <c r="H8" s="42" t="s">
        <v>324</v>
      </c>
      <c r="I8" s="14" t="s">
        <v>325</v>
      </c>
    </row>
    <row r="9" customFormat="false" ht="36" hidden="false" customHeight="true" outlineLevel="0" collapsed="false">
      <c r="B9" s="41" t="s">
        <v>322</v>
      </c>
      <c r="C9" s="6" t="s">
        <v>326</v>
      </c>
      <c r="D9" s="42" t="s">
        <v>324</v>
      </c>
      <c r="E9" s="42" t="s">
        <v>324</v>
      </c>
      <c r="F9" s="42" t="s">
        <v>324</v>
      </c>
      <c r="G9" s="43" t="s">
        <v>327</v>
      </c>
      <c r="H9" s="44" t="s">
        <v>183</v>
      </c>
      <c r="I9" s="14" t="s">
        <v>328</v>
      </c>
    </row>
    <row r="10" customFormat="false" ht="36" hidden="false" customHeight="true" outlineLevel="0" collapsed="false">
      <c r="B10" s="41" t="s">
        <v>322</v>
      </c>
      <c r="C10" s="6" t="s">
        <v>329</v>
      </c>
      <c r="D10" s="42" t="s">
        <v>324</v>
      </c>
      <c r="E10" s="42" t="s">
        <v>324</v>
      </c>
      <c r="F10" s="42" t="s">
        <v>324</v>
      </c>
      <c r="G10" s="42" t="s">
        <v>324</v>
      </c>
      <c r="H10" s="43" t="s">
        <v>327</v>
      </c>
      <c r="I10" s="14" t="s">
        <v>330</v>
      </c>
    </row>
    <row r="11" customFormat="false" ht="36" hidden="false" customHeight="true" outlineLevel="0" collapsed="false">
      <c r="B11" s="41" t="s">
        <v>322</v>
      </c>
      <c r="C11" s="6" t="s">
        <v>331</v>
      </c>
      <c r="D11" s="42" t="s">
        <v>324</v>
      </c>
      <c r="E11" s="42" t="s">
        <v>324</v>
      </c>
      <c r="F11" s="42" t="s">
        <v>324</v>
      </c>
      <c r="G11" s="43" t="s">
        <v>327</v>
      </c>
      <c r="H11" s="43" t="s">
        <v>327</v>
      </c>
      <c r="I11" s="14" t="s">
        <v>332</v>
      </c>
    </row>
    <row r="12" customFormat="false" ht="36" hidden="false" customHeight="true" outlineLevel="0" collapsed="false">
      <c r="B12" s="41" t="s">
        <v>322</v>
      </c>
      <c r="C12" s="6" t="s">
        <v>333</v>
      </c>
      <c r="D12" s="42" t="s">
        <v>324</v>
      </c>
      <c r="E12" s="43" t="s">
        <v>327</v>
      </c>
      <c r="F12" s="42" t="s">
        <v>324</v>
      </c>
      <c r="G12" s="42" t="s">
        <v>324</v>
      </c>
      <c r="H12" s="44" t="s">
        <v>183</v>
      </c>
      <c r="I12" s="14" t="s">
        <v>334</v>
      </c>
    </row>
    <row r="13" customFormat="false" ht="36" hidden="false" customHeight="true" outlineLevel="0" collapsed="false">
      <c r="B13" s="41" t="s">
        <v>322</v>
      </c>
      <c r="C13" s="6" t="s">
        <v>335</v>
      </c>
      <c r="D13" s="43" t="s">
        <v>327</v>
      </c>
      <c r="E13" s="44" t="s">
        <v>183</v>
      </c>
      <c r="F13" s="43" t="s">
        <v>327</v>
      </c>
      <c r="G13" s="42" t="s">
        <v>324</v>
      </c>
      <c r="H13" s="42" t="s">
        <v>324</v>
      </c>
      <c r="I13" s="14" t="s">
        <v>336</v>
      </c>
    </row>
    <row r="14" customFormat="false" ht="36" hidden="false" customHeight="true" outlineLevel="0" collapsed="false">
      <c r="B14" s="41" t="s">
        <v>322</v>
      </c>
      <c r="C14" s="6" t="s">
        <v>337</v>
      </c>
      <c r="D14" s="42" t="s">
        <v>324</v>
      </c>
      <c r="E14" s="43" t="s">
        <v>327</v>
      </c>
      <c r="F14" s="42" t="s">
        <v>324</v>
      </c>
      <c r="G14" s="42" t="s">
        <v>324</v>
      </c>
      <c r="H14" s="42" t="s">
        <v>324</v>
      </c>
      <c r="I14" s="14" t="s">
        <v>338</v>
      </c>
    </row>
    <row r="15" customFormat="false" ht="36" hidden="false" customHeight="true" outlineLevel="0" collapsed="false">
      <c r="B15" s="41" t="s">
        <v>339</v>
      </c>
      <c r="C15" s="6" t="s">
        <v>340</v>
      </c>
      <c r="D15" s="43" t="s">
        <v>327</v>
      </c>
      <c r="E15" s="44" t="s">
        <v>183</v>
      </c>
      <c r="F15" s="43" t="s">
        <v>327</v>
      </c>
      <c r="G15" s="42" t="s">
        <v>324</v>
      </c>
      <c r="H15" s="42" t="s">
        <v>324</v>
      </c>
      <c r="I15" s="14" t="s">
        <v>341</v>
      </c>
    </row>
    <row r="16" customFormat="false" ht="36" hidden="false" customHeight="true" outlineLevel="0" collapsed="false">
      <c r="B16" s="41" t="s">
        <v>339</v>
      </c>
      <c r="C16" s="6" t="s">
        <v>342</v>
      </c>
      <c r="D16" s="43" t="s">
        <v>327</v>
      </c>
      <c r="E16" s="44" t="s">
        <v>183</v>
      </c>
      <c r="F16" s="43" t="s">
        <v>327</v>
      </c>
      <c r="G16" s="44" t="s">
        <v>183</v>
      </c>
      <c r="H16" s="42" t="s">
        <v>324</v>
      </c>
      <c r="I16" s="14" t="s">
        <v>343</v>
      </c>
    </row>
    <row r="17" customFormat="false" ht="36" hidden="false" customHeight="true" outlineLevel="0" collapsed="false">
      <c r="B17" s="41" t="s">
        <v>339</v>
      </c>
      <c r="C17" s="6" t="s">
        <v>344</v>
      </c>
      <c r="D17" s="43" t="s">
        <v>327</v>
      </c>
      <c r="E17" s="43" t="s">
        <v>327</v>
      </c>
      <c r="F17" s="43" t="s">
        <v>327</v>
      </c>
      <c r="G17" s="43" t="s">
        <v>327</v>
      </c>
      <c r="H17" s="43" t="s">
        <v>327</v>
      </c>
      <c r="I17" s="14" t="s">
        <v>345</v>
      </c>
    </row>
    <row r="18" customFormat="false" ht="36" hidden="false" customHeight="true" outlineLevel="0" collapsed="false">
      <c r="B18" s="41" t="s">
        <v>339</v>
      </c>
      <c r="C18" s="6" t="s">
        <v>346</v>
      </c>
      <c r="D18" s="42" t="s">
        <v>324</v>
      </c>
      <c r="E18" s="42" t="s">
        <v>324</v>
      </c>
      <c r="F18" s="42" t="s">
        <v>324</v>
      </c>
      <c r="G18" s="44" t="s">
        <v>183</v>
      </c>
      <c r="H18" s="44" t="s">
        <v>183</v>
      </c>
      <c r="I18" s="14" t="s">
        <v>347</v>
      </c>
    </row>
    <row r="19" customFormat="false" ht="36" hidden="false" customHeight="true" outlineLevel="0" collapsed="false">
      <c r="B19" s="41" t="s">
        <v>348</v>
      </c>
      <c r="C19" s="6" t="s">
        <v>349</v>
      </c>
      <c r="D19" s="42" t="s">
        <v>324</v>
      </c>
      <c r="E19" s="42" t="s">
        <v>324</v>
      </c>
      <c r="F19" s="42" t="s">
        <v>324</v>
      </c>
      <c r="G19" s="42" t="s">
        <v>324</v>
      </c>
      <c r="H19" s="44" t="s">
        <v>183</v>
      </c>
      <c r="I19" s="14" t="s">
        <v>350</v>
      </c>
    </row>
    <row r="20" customFormat="false" ht="36" hidden="false" customHeight="true" outlineLevel="0" collapsed="false">
      <c r="B20" s="41" t="s">
        <v>348</v>
      </c>
      <c r="C20" s="6" t="s">
        <v>351</v>
      </c>
      <c r="D20" s="42" t="s">
        <v>324</v>
      </c>
      <c r="E20" s="42" t="s">
        <v>324</v>
      </c>
      <c r="F20" s="42" t="s">
        <v>324</v>
      </c>
      <c r="G20" s="42" t="s">
        <v>324</v>
      </c>
      <c r="H20" s="44" t="s">
        <v>183</v>
      </c>
      <c r="I20" s="14" t="s">
        <v>352</v>
      </c>
    </row>
    <row r="21" customFormat="false" ht="36" hidden="false" customHeight="true" outlineLevel="0" collapsed="false">
      <c r="B21" s="41" t="s">
        <v>348</v>
      </c>
      <c r="C21" s="6" t="s">
        <v>353</v>
      </c>
      <c r="D21" s="42" t="s">
        <v>324</v>
      </c>
      <c r="E21" s="43" t="s">
        <v>327</v>
      </c>
      <c r="F21" s="42" t="s">
        <v>324</v>
      </c>
      <c r="G21" s="43" t="s">
        <v>327</v>
      </c>
      <c r="H21" s="42" t="s">
        <v>324</v>
      </c>
      <c r="I21" s="14" t="s">
        <v>354</v>
      </c>
    </row>
    <row r="22" customFormat="false" ht="36" hidden="false" customHeight="true" outlineLevel="0" collapsed="false">
      <c r="B22" s="41" t="s">
        <v>348</v>
      </c>
      <c r="C22" s="6" t="s">
        <v>355</v>
      </c>
      <c r="D22" s="42" t="s">
        <v>324</v>
      </c>
      <c r="E22" s="42" t="s">
        <v>324</v>
      </c>
      <c r="F22" s="42" t="s">
        <v>324</v>
      </c>
      <c r="G22" s="42" t="s">
        <v>324</v>
      </c>
      <c r="H22" s="42" t="s">
        <v>324</v>
      </c>
      <c r="I22" s="14" t="s">
        <v>356</v>
      </c>
    </row>
    <row r="23" customFormat="false" ht="36" hidden="false" customHeight="true" outlineLevel="0" collapsed="false">
      <c r="B23" s="41" t="s">
        <v>348</v>
      </c>
      <c r="C23" s="6" t="s">
        <v>357</v>
      </c>
      <c r="D23" s="42" t="s">
        <v>324</v>
      </c>
      <c r="E23" s="42" t="s">
        <v>324</v>
      </c>
      <c r="F23" s="42" t="s">
        <v>324</v>
      </c>
      <c r="G23" s="42" t="s">
        <v>324</v>
      </c>
      <c r="H23" s="42" t="s">
        <v>324</v>
      </c>
      <c r="I23" s="14" t="s">
        <v>358</v>
      </c>
    </row>
    <row r="24" customFormat="false" ht="36" hidden="false" customHeight="true" outlineLevel="0" collapsed="false">
      <c r="B24" s="41" t="s">
        <v>359</v>
      </c>
      <c r="C24" s="6" t="s">
        <v>360</v>
      </c>
      <c r="D24" s="45" t="s">
        <v>361</v>
      </c>
      <c r="E24" s="45" t="s">
        <v>361</v>
      </c>
      <c r="F24" s="45" t="s">
        <v>361</v>
      </c>
      <c r="G24" s="45" t="s">
        <v>361</v>
      </c>
      <c r="H24" s="45" t="s">
        <v>361</v>
      </c>
      <c r="I24" s="14" t="s">
        <v>362</v>
      </c>
    </row>
    <row r="25" customFormat="false" ht="36" hidden="false" customHeight="true" outlineLevel="0" collapsed="false">
      <c r="B25" s="41" t="s">
        <v>359</v>
      </c>
      <c r="C25" s="6" t="s">
        <v>363</v>
      </c>
      <c r="D25" s="42" t="s">
        <v>324</v>
      </c>
      <c r="E25" s="42" t="s">
        <v>324</v>
      </c>
      <c r="F25" s="42" t="s">
        <v>324</v>
      </c>
      <c r="G25" s="42" t="s">
        <v>324</v>
      </c>
      <c r="H25" s="42" t="s">
        <v>324</v>
      </c>
      <c r="I25" s="14" t="s">
        <v>364</v>
      </c>
    </row>
    <row r="26" customFormat="false" ht="36" hidden="false" customHeight="true" outlineLevel="0" collapsed="false">
      <c r="B26" s="41" t="s">
        <v>359</v>
      </c>
      <c r="C26" s="6" t="s">
        <v>365</v>
      </c>
      <c r="D26" s="43" t="s">
        <v>327</v>
      </c>
      <c r="E26" s="43" t="s">
        <v>327</v>
      </c>
      <c r="F26" s="43" t="s">
        <v>327</v>
      </c>
      <c r="G26" s="43" t="s">
        <v>327</v>
      </c>
      <c r="H26" s="43" t="s">
        <v>327</v>
      </c>
      <c r="I26" s="14" t="s">
        <v>366</v>
      </c>
    </row>
    <row r="27" customFormat="false" ht="36" hidden="false" customHeight="true" outlineLevel="0" collapsed="false">
      <c r="B27" s="41" t="s">
        <v>359</v>
      </c>
      <c r="C27" s="6" t="s">
        <v>367</v>
      </c>
      <c r="D27" s="42" t="s">
        <v>324</v>
      </c>
      <c r="E27" s="42" t="s">
        <v>324</v>
      </c>
      <c r="F27" s="42" t="s">
        <v>324</v>
      </c>
      <c r="G27" s="42" t="s">
        <v>324</v>
      </c>
      <c r="H27" s="42" t="s">
        <v>324</v>
      </c>
      <c r="I27" s="14" t="s">
        <v>368</v>
      </c>
    </row>
    <row r="28" customFormat="false" ht="36" hidden="false" customHeight="true" outlineLevel="0" collapsed="false">
      <c r="B28" s="41" t="s">
        <v>369</v>
      </c>
      <c r="C28" s="6" t="s">
        <v>370</v>
      </c>
      <c r="D28" s="42" t="s">
        <v>324</v>
      </c>
      <c r="E28" s="42" t="s">
        <v>324</v>
      </c>
      <c r="F28" s="42" t="s">
        <v>324</v>
      </c>
      <c r="G28" s="42" t="s">
        <v>324</v>
      </c>
      <c r="H28" s="42" t="s">
        <v>324</v>
      </c>
      <c r="I28" s="14" t="s">
        <v>371</v>
      </c>
    </row>
    <row r="29" customFormat="false" ht="36" hidden="false" customHeight="true" outlineLevel="0" collapsed="false">
      <c r="B29" s="41" t="s">
        <v>369</v>
      </c>
      <c r="C29" s="6" t="s">
        <v>372</v>
      </c>
      <c r="D29" s="42" t="s">
        <v>324</v>
      </c>
      <c r="E29" s="42" t="s">
        <v>324</v>
      </c>
      <c r="F29" s="42" t="s">
        <v>324</v>
      </c>
      <c r="G29" s="43" t="s">
        <v>327</v>
      </c>
      <c r="H29" s="44" t="s">
        <v>183</v>
      </c>
      <c r="I29" s="14" t="s">
        <v>373</v>
      </c>
    </row>
    <row r="30" customFormat="false" ht="36" hidden="false" customHeight="true" outlineLevel="0" collapsed="false">
      <c r="B30" s="41" t="s">
        <v>369</v>
      </c>
      <c r="C30" s="6" t="s">
        <v>374</v>
      </c>
      <c r="D30" s="42" t="s">
        <v>324</v>
      </c>
      <c r="E30" s="42" t="s">
        <v>324</v>
      </c>
      <c r="F30" s="42" t="s">
        <v>324</v>
      </c>
      <c r="G30" s="42" t="s">
        <v>324</v>
      </c>
      <c r="H30" s="42" t="s">
        <v>324</v>
      </c>
      <c r="I30" s="14" t="s">
        <v>375</v>
      </c>
    </row>
    <row r="31" customFormat="false" ht="36" hidden="false" customHeight="true" outlineLevel="0" collapsed="false">
      <c r="B31" s="41" t="s">
        <v>369</v>
      </c>
      <c r="C31" s="6" t="s">
        <v>376</v>
      </c>
      <c r="D31" s="42" t="s">
        <v>324</v>
      </c>
      <c r="E31" s="42" t="s">
        <v>324</v>
      </c>
      <c r="F31" s="42" t="s">
        <v>324</v>
      </c>
      <c r="G31" s="42" t="s">
        <v>324</v>
      </c>
      <c r="H31" s="43" t="s">
        <v>327</v>
      </c>
      <c r="I31" s="14" t="s">
        <v>377</v>
      </c>
    </row>
  </sheetData>
  <mergeCells count="3">
    <mergeCell ref="B2:I2"/>
    <mergeCell ref="B4:I4"/>
    <mergeCell ref="B5:I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B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00"/>
  </cols>
  <sheetData>
    <row r="1" customFormat="false" ht="7.5" hidden="false" customHeight="true" outlineLevel="0" collapsed="false"/>
    <row r="2" customFormat="false" ht="24" hidden="false" customHeight="true" outlineLevel="0" collapsed="false">
      <c r="B2" s="46" t="s">
        <v>378</v>
      </c>
    </row>
    <row r="4" customFormat="false" ht="17.35" hidden="false" customHeight="false" outlineLevel="0" collapsed="false">
      <c r="B4" s="47" t="s">
        <v>379</v>
      </c>
    </row>
    <row r="6" customFormat="false" ht="15" hidden="false" customHeight="false" outlineLevel="0" collapsed="false">
      <c r="B6" s="4" t="s">
        <v>380</v>
      </c>
    </row>
    <row r="7" customFormat="false" ht="55.5" hidden="false" customHeight="true" outlineLevel="0" collapsed="false">
      <c r="B7" s="48" t="s">
        <v>381</v>
      </c>
    </row>
    <row r="9" customFormat="false" ht="15" hidden="false" customHeight="false" outlineLevel="0" collapsed="false">
      <c r="B9" s="4" t="s">
        <v>382</v>
      </c>
    </row>
    <row r="10" customFormat="false" ht="27.75" hidden="false" customHeight="true" outlineLevel="0" collapsed="false">
      <c r="B10" s="48" t="s">
        <v>383</v>
      </c>
    </row>
    <row r="12" customFormat="false" ht="15" hidden="false" customHeight="false" outlineLevel="0" collapsed="false">
      <c r="B12" s="4" t="s">
        <v>384</v>
      </c>
    </row>
    <row r="13" customFormat="false" ht="69.75" hidden="false" customHeight="true" outlineLevel="0" collapsed="false">
      <c r="B13" s="48" t="s">
        <v>385</v>
      </c>
    </row>
    <row r="15" customFormat="false" ht="15" hidden="false" customHeight="false" outlineLevel="0" collapsed="false">
      <c r="B15" s="4" t="s">
        <v>386</v>
      </c>
    </row>
    <row r="16" customFormat="false" ht="69.75" hidden="false" customHeight="true" outlineLevel="0" collapsed="false">
      <c r="B16" s="48" t="s">
        <v>387</v>
      </c>
    </row>
    <row r="18" customFormat="false" ht="15" hidden="false" customHeight="false" outlineLevel="0" collapsed="false">
      <c r="B18" s="4" t="s">
        <v>388</v>
      </c>
    </row>
    <row r="19" customFormat="false" ht="42" hidden="false" customHeight="true" outlineLevel="0" collapsed="false">
      <c r="B19" s="48" t="s">
        <v>389</v>
      </c>
    </row>
    <row r="21" customFormat="false" ht="15" hidden="false" customHeight="false" outlineLevel="0" collapsed="false">
      <c r="B21" s="4" t="s">
        <v>390</v>
      </c>
    </row>
    <row r="22" customFormat="false" ht="27.75" hidden="false" customHeight="true" outlineLevel="0" collapsed="false">
      <c r="B22" s="48" t="s">
        <v>391</v>
      </c>
    </row>
    <row r="24" customFormat="false" ht="15" hidden="false" customHeight="false" outlineLevel="0" collapsed="false">
      <c r="B24" s="4" t="s">
        <v>392</v>
      </c>
    </row>
    <row r="25" customFormat="false" ht="27.75" hidden="false" customHeight="true" outlineLevel="0" collapsed="false">
      <c r="B25" s="48" t="s">
        <v>393</v>
      </c>
    </row>
    <row r="27" customFormat="false" ht="15" hidden="false" customHeight="false" outlineLevel="0" collapsed="false">
      <c r="B27" s="4" t="s">
        <v>394</v>
      </c>
    </row>
    <row r="28" customFormat="false" ht="55.5" hidden="false" customHeight="true" outlineLevel="0" collapsed="false">
      <c r="B28" s="48" t="s">
        <v>395</v>
      </c>
    </row>
    <row r="30" customFormat="false" ht="15" hidden="false" customHeight="false" outlineLevel="0" collapsed="false">
      <c r="B30" s="4" t="s">
        <v>396</v>
      </c>
    </row>
    <row r="31" customFormat="false" ht="55.5" hidden="false" customHeight="true" outlineLevel="0" collapsed="false">
      <c r="B31" s="48" t="s">
        <v>397</v>
      </c>
    </row>
    <row r="33" customFormat="false" ht="15" hidden="false" customHeight="false" outlineLevel="0" collapsed="false">
      <c r="B33" s="4" t="s">
        <v>398</v>
      </c>
    </row>
    <row r="34" customFormat="false" ht="69.75" hidden="false" customHeight="true" outlineLevel="0" collapsed="false">
      <c r="B34" s="48" t="s">
        <v>399</v>
      </c>
    </row>
    <row r="36" customFormat="false" ht="15" hidden="false" customHeight="false" outlineLevel="0" collapsed="false">
      <c r="B36" s="4" t="s">
        <v>400</v>
      </c>
    </row>
    <row r="37" customFormat="false" ht="42" hidden="false" customHeight="true" outlineLevel="0" collapsed="false">
      <c r="B37" s="48" t="s">
        <v>401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LibreOffice/26.2.2.2$Linux_X86_64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2026-06-23T02:47:38Z</dcterms:created>
  <dc:creator>openpyxl</dc:creator>
  <dc:description/>
  <dc:language>en-US</dc:language>
  <cp:lastModifiedBy/>
  <dcterms:modified xsi:type="dcterms:W3CDTF">2026-06-23T02:51:11Z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