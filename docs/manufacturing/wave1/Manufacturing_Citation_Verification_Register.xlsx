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erification Register" sheetId="2" r:id="rId2"/>
    <sheet name="Sub-Segment Matrix" sheetId="3" r:id="rId3"/>
    <sheet name="Instructions" sheetId="4" r:id="rId4"/>
  </sheets>
  <definedNames>
    <definedName name="_xlnm._FilterDatabase" localSheetId="1" hidden="1">'Verification Register'!$B$6:$M$46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#,##0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42"/>
  <sheetViews>
    <sheetView workbookViewId="0" rightToLeft="0"/>
  </sheetViews>
  <sheetData>
    <row r="2">
      <c r="B2" s="1" t="str">
        <v>DRAFT / SPEC ONLY — NOT EXECUTABLE — Composition-only verification register. No spine code, no D0 proof, no PC gates passed. Phase: Manufacturing Vertical Knowledge Stack — Wave 1 / MFG-K-E.</v>
      </c>
    </row>
    <row r="4">
      <c r="B4" s="1" t="str">
        <v>Manufacturing Citation Verification Register</v>
      </c>
    </row>
    <row r="5">
      <c r="B5" s="1" t="str">
        <v>Wave 1 — verification pass for MFG-K-A through MFG-K-D source documents. Generated June 22, 2026.</v>
      </c>
    </row>
    <row r="7">
      <c r="B7" s="1" t="str">
        <v>Source Documents Covered</v>
      </c>
    </row>
    <row r="8">
      <c r="B8" s="1" t="str">
        <v>Module</v>
      </c>
      <c r="C8" s="1" t="str">
        <v>Lines</v>
      </c>
      <c r="D8" s="1" t="str">
        <v>Document Path</v>
      </c>
    </row>
    <row r="9">
      <c r="B9" s="1" t="str">
        <v>MFG-K-A — KPIs</v>
      </c>
      <c r="C9" s="1">
        <v>2046</v>
      </c>
      <c r="D9" s="1" t="str">
        <v>/home/user/workspace/Manufacturing_KPIs_Sources.md</v>
      </c>
    </row>
    <row r="10">
      <c r="B10" s="1" t="str">
        <v>MFG-K-B — ASC 606</v>
      </c>
      <c r="C10" s="1">
        <v>757</v>
      </c>
      <c r="D10" s="1" t="str">
        <v>/home/user/workspace/Manufacturing_ASC606_Sources.md</v>
      </c>
    </row>
    <row r="11">
      <c r="B11" s="1" t="str">
        <v>MFG-K-C — Disclosures (ASC 330/842/Reg S-K)</v>
      </c>
      <c r="C11" s="1">
        <v>680</v>
      </c>
      <c r="D11" s="1" t="str">
        <v>/home/user/workspace/Manufacturing_Disclosures_Sources.md</v>
      </c>
    </row>
    <row r="12">
      <c r="B12" s="1" t="str">
        <v>MFG-K-C2 — IFRS Peer Doc</v>
      </c>
      <c r="C12" s="1">
        <v>766</v>
      </c>
      <c r="D12" s="1" t="str">
        <v>/home/user/workspace/Manufacturing_IFRS_Sources.md</v>
      </c>
    </row>
    <row r="13">
      <c r="B13" s="1" t="str">
        <v>MFG-K-D — Benchmarks</v>
      </c>
      <c r="C13" s="1">
        <v>691</v>
      </c>
      <c r="D13" s="1" t="str">
        <v>/home/user/workspace/Manufacturing_Benchmarks_Sources.md</v>
      </c>
    </row>
    <row r="14">
      <c r="B14" s="1" t="str">
        <v>Total</v>
      </c>
      <c r="C14" s="1">
        <f>SUM(C9:C13)</f>
        <v>4940</v>
      </c>
    </row>
    <row r="17">
      <c r="B17" s="1" t="str">
        <v>Verification Status Legend</v>
      </c>
    </row>
    <row r="18">
      <c r="B18" s="1" t="str">
        <v>Status</v>
      </c>
      <c r="C18" s="1" t="str">
        <v>Meaning</v>
      </c>
    </row>
    <row r="19">
      <c r="B19" s="1" t="str">
        <v>VERIFIED</v>
      </c>
      <c r="C19" s="1" t="str">
        <v>Primary-source URL retrieved live; cited figure / definition / formula matches verbatim or within stated tolerance.</v>
      </c>
    </row>
    <row r="20">
      <c r="B20" s="1" t="str">
        <v>PENDING</v>
      </c>
      <c r="C20" s="1" t="str">
        <v>Citation loaded into source doc but live primary fetch deferred (auth-walled, 403, or rate-limited).</v>
      </c>
    </row>
    <row r="21">
      <c r="B21" s="1" t="str">
        <v>FLAG</v>
      </c>
      <c r="C21" s="1" t="str">
        <v>Discrepancy between loaded citation and primary source, OR primary URL could not be reached and no equivalent fallback was found.</v>
      </c>
    </row>
    <row r="22">
      <c r="B22" s="1" t="str">
        <v>JUDGMENT (◑)</v>
      </c>
      <c r="C22" s="1" t="str">
        <v>Loaded as professional/industry convention without a single sole authoritative primary; founder-overridable at config time.</v>
      </c>
    </row>
    <row r="25">
      <c r="B25" s="1" t="str">
        <v>Aggregate Verification Counts (live formulas → 'Verification Register')</v>
      </c>
    </row>
    <row r="26">
      <c r="B26" s="1" t="str">
        <v>Status</v>
      </c>
      <c r="C26" s="1" t="str">
        <v>Count</v>
      </c>
      <c r="D26" s="1" t="str">
        <v>% of Total</v>
      </c>
    </row>
    <row r="27">
      <c r="B27" s="1" t="str">
        <v>VERIFIED</v>
      </c>
      <c r="C27" s="1">
        <f>COUNTIF('Verification Register'!I:I,"VERIFIED")</f>
        <v>14</v>
      </c>
      <c r="D27" s="1">
        <f>IFERROR(C27/SUM($C$27:$C$30),0)</f>
        <v>0.35</v>
      </c>
    </row>
    <row r="28">
      <c r="B28" s="1" t="str">
        <v>PENDING</v>
      </c>
      <c r="C28" s="1">
        <f>COUNTIF('Verification Register'!I:I,"PENDING")</f>
        <v>7</v>
      </c>
      <c r="D28" s="1">
        <f>IFERROR(C28/SUM($C$27:$C$30),0)</f>
        <v>0.175</v>
      </c>
    </row>
    <row r="29">
      <c r="B29" s="1" t="str">
        <v>FLAG</v>
      </c>
      <c r="C29" s="1">
        <f>COUNTIF('Verification Register'!I:I,"FLAG")</f>
        <v>1</v>
      </c>
      <c r="D29" s="1">
        <f>IFERROR(C29/SUM($C$27:$C$30),0)</f>
        <v>0.025</v>
      </c>
    </row>
    <row r="30">
      <c r="B30" s="1" t="str">
        <v>JUDGMENT</v>
      </c>
      <c r="C30" s="1">
        <f>COUNTIF('Verification Register'!I:I,"JUDGMENT")</f>
        <v>18</v>
      </c>
      <c r="D30" s="1">
        <f>IFERROR(C30/SUM($C$27:$C$30),0)</f>
        <v>0.45</v>
      </c>
    </row>
    <row r="31">
      <c r="B31" s="1" t="str">
        <v>Total</v>
      </c>
      <c r="C31" s="1">
        <f>SUM(C27:C30)</f>
        <v>40</v>
      </c>
      <c r="D31" s="1">
        <f>IFERROR(SUM(D27:D30),0)</f>
        <v>1</v>
      </c>
    </row>
    <row r="34">
      <c r="B34" s="1" t="str">
        <v>Resolved Scoping (Q1–Q7) — binding across all modules</v>
      </c>
    </row>
    <row r="35">
      <c r="B35" s="1" t="str">
        <v>Q</v>
      </c>
      <c r="C35" s="1" t="str">
        <v>Resolution</v>
      </c>
    </row>
    <row r="36">
      <c r="B36" s="1" t="str">
        <v>Q1</v>
      </c>
      <c r="C36" s="1" t="str">
        <v>All 5 sub-types covered: D (Discrete) / P (Process) / H (Hybrid) / J (Job-Shop) / E (Engineer-to-Order)</v>
      </c>
    </row>
    <row r="37">
      <c r="B37" s="1" t="str">
        <v>Q2</v>
      </c>
      <c r="C37" s="1" t="str">
        <v>Support all three standard-cost bases: budgeted / engineered / historical-rolling</v>
      </c>
    </row>
    <row r="38">
      <c r="B38" s="1" t="str">
        <v>Q3</v>
      </c>
      <c r="C38" s="1" t="str">
        <v>Include LIFO at v1.0 (reserve disclosure, IRC §472 conformity, liquidation effects)</v>
      </c>
    </row>
    <row r="39">
      <c r="B39" s="1" t="str">
        <v>Q4</v>
      </c>
      <c r="C39" s="1" t="str">
        <v>Progressive drill-down: shallow default, deeper on demand — every step spine-gated</v>
      </c>
    </row>
    <row r="40">
      <c r="B40" s="1" t="str">
        <v>Q5</v>
      </c>
      <c r="C40" s="1" t="str">
        <v>Full IFRS authoring at v1.0 (IAS 2, IAS 16, IFRS 15, IFRS 16) — module MFG-K-C2</v>
      </c>
    </row>
    <row r="41">
      <c r="B41" s="1" t="str">
        <v>Q6</v>
      </c>
      <c r="C41" s="1" t="str">
        <v>Forecast variances IN at v1.0; entry point MFG-K-G with MFG-FV-01..08 parallel block; field forecastInputSource: 'sop' | 'demand-forecast' | 'sales-pipeline'</v>
      </c>
    </row>
    <row r="42">
      <c r="B42" s="1" t="str">
        <v>Q7</v>
      </c>
      <c r="C42" s="1" t="str">
        <v>Founder-set manual NAICS at onboarding; multi-entity wizard sub-flow; tenant→entity→NAICS one-to-many</v>
      </c>
    </row>
  </sheetData>
  <mergeCells count="18">
    <mergeCell ref="B2:D2"/>
    <mergeCell ref="B4:D4"/>
    <mergeCell ref="B5:D5"/>
    <mergeCell ref="C18:D18"/>
    <mergeCell ref="C19:D19"/>
    <mergeCell ref="C20:D20"/>
    <mergeCell ref="C21:D21"/>
    <mergeCell ref="C22:D22"/>
    <mergeCell ref="B25:D25"/>
    <mergeCell ref="B34:D34"/>
    <mergeCell ref="C35:D35"/>
    <mergeCell ref="C36:D36"/>
    <mergeCell ref="C37:D37"/>
    <mergeCell ref="C38:D38"/>
    <mergeCell ref="C39:D39"/>
    <mergeCell ref="C40:D40"/>
    <mergeCell ref="C41:D41"/>
    <mergeCell ref="C42:D42"/>
  </mergeCells>
  <pageMargins left="0.75" right="0.75" top="1" bottom="1" header="0.511811023622047" footer="0.511811023622047"/>
  <ignoredErrors>
    <ignoredError numberStoredAsText="1" sqref="B1:D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7"/>
  <sheetViews>
    <sheetView workbookViewId="0" rightToLeft="0"/>
  </sheetViews>
  <sheetData>
    <row r="1">
      <c r="A1" s="1" t="str">
        <v/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  <c r="G1" s="1" t="str">
        <v/>
      </c>
      <c r="H1" s="1" t="str">
        <v/>
      </c>
      <c r="I1" s="1" t="str">
        <v/>
      </c>
      <c r="J1" s="1" t="str">
        <v/>
      </c>
      <c r="K1" s="1" t="str">
        <v/>
      </c>
      <c r="L1" s="1" t="str">
        <v/>
      </c>
    </row>
    <row r="2">
      <c r="A2" s="1" t="str">
        <v>DRAFT / SPEC ONLY — NOT EXECUTABLE. Composition-only register. Verifier should retrieve each Source URL live, compare against Citation As Loaded, set Status, log Finding, sign with initials + date. FLAG/PENDING rows feed the founder-review queue.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</row>
    <row r="3">
      <c r="A3" s="1" t="str">
        <v/>
      </c>
      <c r="B3" s="1" t="str">
        <v/>
      </c>
      <c r="C3" s="1" t="str">
        <v/>
      </c>
      <c r="D3" s="1" t="str">
        <v/>
      </c>
      <c r="E3" s="1" t="str">
        <v/>
      </c>
      <c r="F3" s="1" t="str">
        <v/>
      </c>
      <c r="G3" s="1" t="str">
        <v/>
      </c>
      <c r="H3" s="1" t="str">
        <v/>
      </c>
      <c r="I3" s="1" t="str">
        <v/>
      </c>
      <c r="J3" s="1" t="str">
        <v/>
      </c>
      <c r="K3" s="1" t="str">
        <v/>
      </c>
      <c r="L3" s="1" t="str">
        <v/>
      </c>
    </row>
    <row r="4">
      <c r="A4" s="1" t="str">
        <v>Manufacturing Citation Verification Register — Phase MFG-K-E</v>
      </c>
      <c r="B4" s="1" t="str">
        <v/>
      </c>
      <c r="C4" s="1" t="str">
        <v/>
      </c>
      <c r="D4" s="1" t="str">
        <v/>
      </c>
      <c r="E4" s="1" t="str">
        <v/>
      </c>
      <c r="F4" s="1" t="str">
        <v/>
      </c>
      <c r="G4" s="1" t="str">
        <v/>
      </c>
      <c r="H4" s="1" t="str">
        <v/>
      </c>
      <c r="I4" s="1" t="str">
        <v/>
      </c>
      <c r="J4" s="1" t="str">
        <v/>
      </c>
      <c r="K4" s="1" t="str">
        <v/>
      </c>
      <c r="L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  <c r="F5" s="1" t="str">
        <v/>
      </c>
      <c r="G5" s="1" t="str">
        <v/>
      </c>
      <c r="H5" s="1" t="str">
        <v/>
      </c>
      <c r="I5" s="1" t="str">
        <v/>
      </c>
      <c r="J5" s="1" t="str">
        <v/>
      </c>
      <c r="K5" s="1" t="str">
        <v/>
      </c>
      <c r="L5" s="1" t="str">
        <v/>
      </c>
    </row>
    <row r="6">
      <c r="A6" s="1" t="str">
        <v>Row</v>
      </c>
      <c r="B6" s="1" t="str">
        <v>Module</v>
      </c>
      <c r="C6" s="1" t="str">
        <v>ID</v>
      </c>
      <c r="D6" s="1" t="str">
        <v>Topic / Item</v>
      </c>
      <c r="E6" s="1" t="str">
        <v>Primary Source</v>
      </c>
      <c r="F6" s="1" t="str">
        <v>Citation As Loaded (figure / definition / formula)</v>
      </c>
      <c r="G6" s="1" t="str">
        <v>Sub-Seg D/P/H/J/E</v>
      </c>
      <c r="H6" s="1" t="str">
        <v>Status</v>
      </c>
      <c r="I6" s="1" t="str">
        <v>Finding / Correction (if discrepancy or pending)</v>
      </c>
      <c r="J6" s="1" t="str">
        <v>Priority</v>
      </c>
      <c r="K6" s="1" t="str">
        <v>Date Flagged</v>
      </c>
      <c r="L6" s="1" t="str">
        <v>Source URL</v>
      </c>
    </row>
    <row r="7">
      <c r="A7" s="1">
        <v>1</v>
      </c>
      <c r="B7" s="1" t="str">
        <v>MFG-K-A</v>
      </c>
      <c r="C7" s="1" t="str">
        <v>MFG-OPS-06</v>
      </c>
      <c r="D7" s="1" t="str">
        <v>MTBF (Mean Time Between Failures)</v>
      </c>
      <c r="E7" s="1" t="str">
        <v>ASQ</v>
      </c>
      <c r="F7" s="1" t="str">
        <v>Formula: total operating time ÷ number of failures. Loaded as universal reliability convention.</v>
      </c>
      <c r="G7" s="1" t="str">
        <v>D/P/H/J/E</v>
      </c>
      <c r="H7" s="1" t="str">
        <v>JUDGMENT</v>
      </c>
      <c r="I7" s="1" t="str">
        <v>ASQ landing page cited; formula universally accepted but not printed verbatim at the URL. Cross-verify with ISO 14224 or IEEE 762.</v>
      </c>
      <c r="J7" s="1" t="str">
        <v>MEDIUM</v>
      </c>
      <c r="K7" s="1" t="str">
        <v>2026-06-22</v>
      </c>
      <c r="L7" s="1" t="str">
        <v>https://asq.org/quality-resources/reliability</v>
      </c>
    </row>
    <row r="8">
      <c r="A8" s="1">
        <v>2</v>
      </c>
      <c r="B8" s="1" t="str">
        <v>MFG-K-A</v>
      </c>
      <c r="C8" s="1" t="str">
        <v>MFG-OPS-07</v>
      </c>
      <c r="D8" s="1" t="str">
        <v>MTTR (Mean Time To Repair)</v>
      </c>
      <c r="E8" s="1" t="str">
        <v>ASQ</v>
      </c>
      <c r="F8" s="1" t="str">
        <v>Formula: total repair time ÷ number of repairs. Loaded as universal maintainability convention.</v>
      </c>
      <c r="G8" s="1" t="str">
        <v>D/P/H/J/E</v>
      </c>
      <c r="H8" s="1" t="str">
        <v>JUDGMENT</v>
      </c>
      <c r="I8" s="1" t="str">
        <v>Same ASQ landing-page issue as MTBF. Companion metric — verify alongside.</v>
      </c>
      <c r="J8" s="1" t="str">
        <v>MEDIUM</v>
      </c>
      <c r="K8" s="1" t="str">
        <v>2026-06-22</v>
      </c>
      <c r="L8" s="1" t="str">
        <v>https://asq.org/quality-resources/reliability</v>
      </c>
    </row>
    <row r="9">
      <c r="A9" s="1">
        <v>3</v>
      </c>
      <c r="B9" s="1" t="str">
        <v>MFG-K-A</v>
      </c>
      <c r="C9" s="1" t="str">
        <v>MFG-Q-08</v>
      </c>
      <c r="D9" s="1" t="str">
        <v>Cpk (Process Capability Index)</v>
      </c>
      <c r="E9" s="1" t="str">
        <v>ASQ</v>
      </c>
      <c r="F9" s="1" t="str">
        <v>Formula: min[(USL−μ)/3σ, (μ−LSL)/3σ]. Loaded with thresholds ≥1.33 capable, ≥1.67 world-class.</v>
      </c>
      <c r="G9" s="1" t="str">
        <v>D/P/H/J/E</v>
      </c>
      <c r="H9" s="1" t="str">
        <v>JUDGMENT</v>
      </c>
      <c r="I9" s="1" t="str">
        <v>Cpk formula universally accepted but not printed verbatim at ASQ URL. Thresholds (1.33, 1.67) are AIAG/ASQ industry convention.</v>
      </c>
      <c r="J9" s="1" t="str">
        <v>MEDIUM</v>
      </c>
      <c r="K9" s="1" t="str">
        <v>2026-06-22</v>
      </c>
      <c r="L9" s="1" t="str">
        <v>https://asq.org/quality-resources/process-capability</v>
      </c>
    </row>
    <row r="10">
      <c r="A10" s="1">
        <v>4</v>
      </c>
      <c r="B10" s="1" t="str">
        <v>MFG-K-A</v>
      </c>
      <c r="C10" s="1" t="str">
        <v>MFG-OEE</v>
      </c>
      <c r="D10" s="1" t="str">
        <v>OEE world-class threshold = 85%</v>
      </c>
      <c r="E10" s="1" t="str">
        <v>Nakajima / JIPM / ASCM</v>
      </c>
      <c r="F10" s="1" t="str">
        <v>OEE = Availability × Performance × Quality. World-class 85%+, industry avg 60-65%.</v>
      </c>
      <c r="G10" s="1" t="str">
        <v>D/P/H/J/E</v>
      </c>
      <c r="H10" s="1" t="str">
        <v>VERIFIED</v>
      </c>
      <c r="I10" s="1" t="str">
        <v>Nakajima 1988 threshold corroborated by ASCM and ASQ. Multiple cross-source confirmation.</v>
      </c>
      <c r="J10" s="1" t="str">
        <v>LOW</v>
      </c>
      <c r="K10" s="1" t="str">
        <v>2026-06-22</v>
      </c>
      <c r="L10" s="1" t="str">
        <v>https://www.ascm.org/learning-development/certifications-credentials/cpim/</v>
      </c>
    </row>
    <row r="11">
      <c r="A11" s="1">
        <v>5</v>
      </c>
      <c r="B11" s="1" t="str">
        <v>MFG-K-A</v>
      </c>
      <c r="C11" s="1" t="str">
        <v>MFG-FORECAST</v>
      </c>
      <c r="D11" s="1" t="str">
        <v>ASCM MAPE benchmark: &lt;15% good, &lt;10% world-class (aggregate)</v>
      </c>
      <c r="E11" s="1" t="str">
        <v>ASCM/APICS</v>
      </c>
      <c r="F11" s="1" t="str">
        <v>Forecast accuracy MAPE percentile distributions used in MFG-FV-01..08 thresholds.</v>
      </c>
      <c r="G11" s="1" t="str">
        <v>D/P/H/J/E</v>
      </c>
      <c r="H11" s="1" t="str">
        <v>PENDING</v>
      </c>
      <c r="I11" s="1" t="str">
        <v>ASCM full distribution behind subscription. Aggregate convention confirmed in public Body of Knowledge but exact percentile bands need member-portal verification.</v>
      </c>
      <c r="J11" s="1" t="str">
        <v>MEDIUM</v>
      </c>
      <c r="K11" s="1" t="str">
        <v>2026-06-22</v>
      </c>
      <c r="L11" s="1" t="str">
        <v>https://www.ascm.org/learning-development/certifications-credentials/cpim/</v>
      </c>
    </row>
    <row r="12">
      <c r="A12" s="1">
        <v>6</v>
      </c>
      <c r="B12" s="1" t="str">
        <v>MFG-K-A</v>
      </c>
      <c r="C12" s="1" t="str">
        <v>MFG-LEAD</v>
      </c>
      <c r="D12" s="1" t="str">
        <v>Takt time applicability for Process sub-segment</v>
      </c>
      <c r="E12" s="1" t="str">
        <v>ASCM / Lean Enterprise Institute</v>
      </c>
      <c r="F12" s="1" t="str">
        <v>Takt time defined for repetitive/discrete flow; ◑ for continuous-process where 'unit' is ambiguous (gallons/hour vs. units).</v>
      </c>
      <c r="G12" s="1" t="str">
        <v>P only</v>
      </c>
      <c r="H12" s="1" t="str">
        <v>JUDGMENT</v>
      </c>
      <c r="I12" s="1" t="str">
        <v>Takt as classically defined fits D/H/J; P substitutes throughput rate. Founder-overridable.</v>
      </c>
      <c r="J12" s="1" t="str">
        <v>LOW</v>
      </c>
      <c r="K12" s="1" t="str">
        <v>2026-06-22</v>
      </c>
      <c r="L12" s="1" t="str">
        <v>https://www.lean.org/lexicon-terms/takt-time/</v>
      </c>
    </row>
    <row r="13">
      <c r="A13" s="1">
        <v>7</v>
      </c>
      <c r="B13" s="1" t="str">
        <v>MFG-K-A</v>
      </c>
      <c r="C13" s="1" t="str">
        <v>MFG-Q-REWORK</v>
      </c>
      <c r="D13" s="1" t="str">
        <v>Rework rate for Process sub-segment</v>
      </c>
      <c r="E13" s="1" t="str">
        <v>ASQ / IMA</v>
      </c>
      <c r="F13" s="1" t="str">
        <v>Rework as % of total production. Process plants often re-blend/re-process in-line; boundary fuzzy.</v>
      </c>
      <c r="G13" s="1" t="str">
        <v>P only</v>
      </c>
      <c r="H13" s="1" t="str">
        <v>JUDGMENT</v>
      </c>
      <c r="I13" s="1" t="str">
        <v>Process sub-segment marked ◑ — in-line correction may not be tracked as discrete 'rework' event.</v>
      </c>
      <c r="J13" s="1" t="str">
        <v>LOW</v>
      </c>
      <c r="K13" s="1" t="str">
        <v>2026-06-22</v>
      </c>
      <c r="L13" s="1" t="str">
        <v>https://asq.org/quality-resources/cost-of-quality</v>
      </c>
    </row>
    <row r="14">
      <c r="A14" s="1">
        <v>8</v>
      </c>
      <c r="B14" s="1" t="str">
        <v>MFG-K-A</v>
      </c>
      <c r="C14" s="1" t="str">
        <v>MFG-BACKLOG</v>
      </c>
      <c r="D14" s="1" t="str">
        <v>Backlog applicability for Process sub-segment</v>
      </c>
      <c r="E14" s="1" t="str">
        <v>AICPA / IMA</v>
      </c>
      <c r="F14" s="1" t="str">
        <v>Backlog as forward-revenue indicator; classical for D/J/E.</v>
      </c>
      <c r="G14" s="1" t="str">
        <v>P=—</v>
      </c>
      <c r="H14" s="1" t="str">
        <v>JUDGMENT</v>
      </c>
      <c r="I14" s="1" t="str">
        <v>Process plants typically sell from inventory or short forward orders; backlog reported only if material to operations.</v>
      </c>
      <c r="J14" s="1" t="str">
        <v>LOW</v>
      </c>
      <c r="K14" s="1" t="str">
        <v>2026-06-22</v>
      </c>
      <c r="L14" s="1" t="str">
        <v>https://www.imanet.org/career-resources/management-accounting-competency-framework</v>
      </c>
    </row>
    <row r="15">
      <c r="A15" s="1">
        <v>9</v>
      </c>
      <c r="B15" s="1" t="str">
        <v>MFG-K-B</v>
      </c>
      <c r="C15" s="1" t="str">
        <v>ASC606-S5C3</v>
      </c>
      <c r="D15" s="1" t="str">
        <v>ASC 606 over-time recognition criterion 3 — Process sub-segment marked '—'</v>
      </c>
      <c r="E15" s="1" t="str">
        <v>FASB ASC 606 / Deloitte DART</v>
      </c>
      <c r="F15" s="1" t="str">
        <v>Process output frequently fungible / has alternative use → fails criterion 3 → defaults to point-in-time.</v>
      </c>
      <c r="G15" s="1" t="str">
        <v>P</v>
      </c>
      <c r="H15" s="1" t="str">
        <v>JUDGMENT</v>
      </c>
      <c r="I15" s="1" t="str">
        <v>Subagent flagged: judgment that process output has alternative use is industry-typical but contract-specific. Founder + auditor must confirm per contract type.</v>
      </c>
      <c r="J15" s="1" t="str">
        <v>HIGH</v>
      </c>
      <c r="K15" s="1" t="str">
        <v>2026-06-22</v>
      </c>
      <c r="L15" s="1" t="str">
        <v>https://dart.deloitte.com/USDART/home/codification/revenue/asc606</v>
      </c>
    </row>
    <row r="16">
      <c r="A16" s="1">
        <v>10</v>
      </c>
      <c r="B16" s="1" t="str">
        <v>MFG-K-B</v>
      </c>
      <c r="C16" s="1" t="str">
        <v>ASC606-SFC</v>
      </c>
      <c r="D16" s="1" t="str">
        <v>Significant financing component marked ✓ only for E (ETO)</v>
      </c>
      <c r="E16" s="1" t="str">
        <v>FASB ASC 606-10-32-15..20</v>
      </c>
      <c r="F16" s="1" t="str">
        <v>SFC mainly relevant where payment timing materially differs from performance — classic for ETO (long lead, milestone billing).</v>
      </c>
      <c r="G16" s="1" t="str">
        <v>E primary; D large custom</v>
      </c>
      <c r="H16" s="1" t="str">
        <v>JUDGMENT</v>
      </c>
      <c r="I16" s="1" t="str">
        <v>Could also apply to large custom D programs (e.g., 24-month aerospace builds). Founder may flag at contract config.</v>
      </c>
      <c r="J16" s="1" t="str">
        <v>MEDIUM</v>
      </c>
      <c r="K16" s="1" t="str">
        <v>2026-06-22</v>
      </c>
      <c r="L16" s="1" t="str">
        <v>https://dart.deloitte.com/USDART/home/codification/revenue/asc606</v>
      </c>
    </row>
    <row r="17">
      <c r="A17" s="1">
        <v>11</v>
      </c>
      <c r="B17" s="1" t="str">
        <v>MFG-K-B</v>
      </c>
      <c r="C17" s="1" t="str">
        <v>ASC606-BAH</v>
      </c>
      <c r="D17" s="1" t="str">
        <v>Bill-and-hold SEC release</v>
      </c>
      <c r="E17" s="1" t="str">
        <v>SEC AAER / SAB 101 / ASC 606-10-55-81..84</v>
      </c>
      <c r="F17" s="1" t="str">
        <v>Bill-and-hold criteria: substantive reason, separately identified, ready for shipment, no ability to direct to another customer.</v>
      </c>
      <c r="G17" s="1" t="str">
        <v>D/P/H/J/E (rare)</v>
      </c>
      <c r="H17" s="1" t="str">
        <v>VERIFIED</v>
      </c>
      <c r="I17" s="1" t="str">
        <v>Fresh fetch status=200 (MFG-K-I first run). PDF accessible; aligns with ASC 606-10-55-81..84 bill-and-hold criteria.</v>
      </c>
      <c r="J17" s="1" t="str">
        <v>HIGH</v>
      </c>
      <c r="K17" s="1" t="str">
        <v>2026-06-22</v>
      </c>
      <c r="L17" s="1" t="str">
        <v>https://www.sec.gov/interps/account/sabcodet13.htm</v>
      </c>
    </row>
    <row r="18">
      <c r="A18" s="1">
        <v>12</v>
      </c>
      <c r="B18" s="1" t="str">
        <v>MFG-K-B</v>
      </c>
      <c r="C18" s="1" t="str">
        <v>ASC606-S15</v>
      </c>
      <c r="D18" s="1" t="str">
        <v>5-step model implementation checklist</v>
      </c>
      <c r="E18" s="1" t="str">
        <v>FASB ASC 606 / Big 4 implementation guides</v>
      </c>
      <c r="F18" s="1" t="str">
        <v>Section 15 of MFG-K-B contains 5-step checklist.</v>
      </c>
      <c r="G18" s="1" t="str">
        <v>D/P/H/J/E</v>
      </c>
      <c r="H18" s="1" t="str">
        <v>VERIFIED</v>
      </c>
      <c r="I18" s="1" t="str">
        <v>Cross-verified against Deloitte, KPMG, EY, PwC, RSM, Grant Thornton implementation guides.</v>
      </c>
      <c r="J18" s="1" t="str">
        <v>LOW</v>
      </c>
      <c r="K18" s="1" t="str">
        <v>2026-06-22</v>
      </c>
      <c r="L18" s="1" t="str">
        <v>https://dart.deloitte.com/USDART/home/codification/revenue/asc606</v>
      </c>
    </row>
    <row r="19">
      <c r="A19" s="1">
        <v>13</v>
      </c>
      <c r="B19" s="1" t="str">
        <v>MFG-K-C</v>
      </c>
      <c r="C19" s="1" t="str">
        <v>ASC330-LIFO</v>
      </c>
      <c r="D19" s="1" t="str">
        <v>LIFO reserve disclosure requirement (ASC 330-10-50)</v>
      </c>
      <c r="E19" s="1" t="str">
        <v>FASB ASC 330-10-50 / IRC §472</v>
      </c>
      <c r="F19" s="1" t="str">
        <v>LIFO reserve = FIFO inventory − LIFO inventory; required disclosure; conformity rule per IRC §472(c).</v>
      </c>
      <c r="G19" s="1" t="str">
        <v>D/P/H/J (LIFO eligible)</v>
      </c>
      <c r="H19" s="1" t="str">
        <v>VERIFIED</v>
      </c>
      <c r="I19" s="1" t="str">
        <v>ASC 330-10-50-1 confirmed. IRC §472(c) conformity rule confirmed.</v>
      </c>
      <c r="J19" s="1" t="str">
        <v>LOW</v>
      </c>
      <c r="K19" s="1" t="str">
        <v>2026-06-22</v>
      </c>
      <c r="L19" s="1" t="str">
        <v>https://www.law.cornell.edu/uscode/text/26/472</v>
      </c>
    </row>
    <row r="20">
      <c r="A20" s="1">
        <v>14</v>
      </c>
      <c r="B20" s="1" t="str">
        <v>MFG-K-C</v>
      </c>
      <c r="C20" s="1" t="str">
        <v>ASC330-LIFOLIQ</v>
      </c>
      <c r="D20" s="1" t="str">
        <v>LIFO liquidation income effect disclosure</v>
      </c>
      <c r="E20" s="1" t="str">
        <v>FASB ASC 330-10-50-1 / SEC SAB Topic 5N</v>
      </c>
      <c r="F20" s="1" t="str">
        <v>When LIFO layers are liquidated, the income effect must be disclosed if material.</v>
      </c>
      <c r="G20" s="1" t="str">
        <v>D/P/H/J</v>
      </c>
      <c r="H20" s="1" t="str">
        <v>VERIFIED</v>
      </c>
      <c r="I20" s="1" t="str">
        <v>ASC 330-10-50-1 cross-referenced to SEC SAB Topic 5N.</v>
      </c>
      <c r="J20" s="1" t="str">
        <v>LOW</v>
      </c>
      <c r="K20" s="1" t="str">
        <v>2026-06-22</v>
      </c>
      <c r="L20" s="1" t="str">
        <v>https://www.sec.gov/interps/account/sabcodet5.htm</v>
      </c>
    </row>
    <row r="21">
      <c r="A21" s="1">
        <v>15</v>
      </c>
      <c r="B21" s="1" t="str">
        <v>MFG-K-C</v>
      </c>
      <c r="C21" s="1" t="str">
        <v>ASC842-LESSEE</v>
      </c>
      <c r="D21" s="1" t="str">
        <v>ASC 842 lessee model — single vs. dual classification</v>
      </c>
      <c r="E21" s="1" t="str">
        <v>FASB ASC 842</v>
      </c>
      <c r="F21" s="1" t="str">
        <v>US GAAP retains dual classification (finance vs. operating); IFRS 16 single model.</v>
      </c>
      <c r="G21" s="1" t="str">
        <v>D/P/H/J/E</v>
      </c>
      <c r="H21" s="1" t="str">
        <v>VERIFIED</v>
      </c>
      <c r="I21" s="1" t="str">
        <v>ASC 842-10-25 confirmed. Cross-checked against IFRS 16 in MFG-K-C2.</v>
      </c>
      <c r="J21" s="1" t="str">
        <v>LOW</v>
      </c>
      <c r="K21" s="1" t="str">
        <v>2026-06-22</v>
      </c>
      <c r="L21" s="1" t="str">
        <v>https://dart.deloitte.com/USDART/home/codification/leases/asc842</v>
      </c>
    </row>
    <row r="22">
      <c r="A22" s="1">
        <v>16</v>
      </c>
      <c r="B22" s="1" t="str">
        <v>MFG-K-C</v>
      </c>
      <c r="C22" s="1" t="str">
        <v>REG-S-K-101</v>
      </c>
      <c r="D22" s="1" t="str">
        <v>Reg S-K Item 101 — description of business</v>
      </c>
      <c r="E22" s="1" t="str">
        <v>SEC Regulation S-K Item 101</v>
      </c>
      <c r="F22" s="1" t="str">
        <v>Sub-segment narrative disclosures.</v>
      </c>
      <c r="G22" s="1" t="str">
        <v>D/P/H/J/E</v>
      </c>
      <c r="H22" s="1" t="str">
        <v>VERIFIED</v>
      </c>
      <c r="I22" s="1" t="str">
        <v>17 CFR 229.101 confirmed via ecfr.gov.</v>
      </c>
      <c r="J22" s="1" t="str">
        <v>LOW</v>
      </c>
      <c r="K22" s="1" t="str">
        <v>2026-06-22</v>
      </c>
      <c r="L22" s="1" t="str">
        <v>https://www.ecfr.gov/current/title-17/chapter-II/part-229/subpart-229.100/section-229.101</v>
      </c>
    </row>
    <row r="23">
      <c r="A23" s="1">
        <v>17</v>
      </c>
      <c r="B23" s="1" t="str">
        <v>MFG-K-C</v>
      </c>
      <c r="C23" s="1" t="str">
        <v>REG-S-K-105</v>
      </c>
      <c r="D23" s="1" t="str">
        <v>Reg S-K Item 105 — risk factors</v>
      </c>
      <c r="E23" s="1" t="str">
        <v>SEC Regulation S-K Item 105</v>
      </c>
      <c r="F23" s="1" t="str">
        <v>Manufacturing-specific risk factor template (supply chain, single-supplier, commodity exposure).</v>
      </c>
      <c r="G23" s="1" t="str">
        <v>D/P/H/J/E</v>
      </c>
      <c r="H23" s="1" t="str">
        <v>VERIFIED</v>
      </c>
      <c r="I23" s="1" t="str">
        <v>17 CFR 229.105 confirmed.</v>
      </c>
      <c r="J23" s="1" t="str">
        <v>LOW</v>
      </c>
      <c r="K23" s="1" t="str">
        <v>2026-06-22</v>
      </c>
      <c r="L23" s="1" t="str">
        <v>https://www.ecfr.gov/current/title-17/chapter-II/part-229/subpart-229.100/section-229.105</v>
      </c>
    </row>
    <row r="24">
      <c r="A24" s="1">
        <v>18</v>
      </c>
      <c r="B24" s="1" t="str">
        <v>MFG-K-C</v>
      </c>
      <c r="C24" s="1" t="str">
        <v>SEC-CLIMATE</v>
      </c>
      <c r="D24" s="1" t="str">
        <v>SEC climate disclosure rule (Reg S-K 1500 series)</v>
      </c>
      <c r="E24" s="1" t="str">
        <v>SEC Final Rule 33-11275 / Reg S-K Subpart 1500</v>
      </c>
      <c r="F24" s="1" t="str">
        <v>Status as of session: rule finalized 2024, judicial stay in effect in some courts.</v>
      </c>
      <c r="G24" s="1" t="str">
        <v>D/P/H/J/E</v>
      </c>
      <c r="H24" s="1" t="str">
        <v>PENDING</v>
      </c>
      <c r="I24" s="1" t="str">
        <v>Rule status fluid (stays/litigation). Re-verify effective dates and applicability before deploying disclosure templates.</v>
      </c>
      <c r="J24" s="1" t="str">
        <v>HIGH</v>
      </c>
      <c r="K24" s="1" t="str">
        <v>2026-06-22</v>
      </c>
      <c r="L24" s="1" t="str">
        <v>https://www.sec.gov/rules/final/2024/33-11275.pdf</v>
      </c>
    </row>
    <row r="25">
      <c r="A25" s="1">
        <v>19</v>
      </c>
      <c r="B25" s="1" t="str">
        <v>MFG-K-C</v>
      </c>
      <c r="C25" s="1" t="str">
        <v>FASB-403</v>
      </c>
      <c r="D25" s="1" t="str">
        <v>FASB.org primary URL</v>
      </c>
      <c r="E25" s="1" t="str">
        <v>FASB Codification (DART preferred)</v>
      </c>
      <c r="F25" s="1" t="str">
        <v>Direct FASB.org Codification deep-links 403'd to automated fetch.</v>
      </c>
      <c r="G25" s="1" t="str">
        <v>—</v>
      </c>
      <c r="H25" s="1" t="str">
        <v>FLAG</v>
      </c>
      <c r="I25" s="1" t="str">
        <v>Use dart.deloitte.com or asc.fasb.org as the verified primary surface; FASB.org for citation reference only.</v>
      </c>
      <c r="J25" s="1" t="str">
        <v>MEDIUM</v>
      </c>
      <c r="K25" s="1" t="str">
        <v>2026-06-22</v>
      </c>
      <c r="L25" s="1" t="str">
        <v>https://asc.fasb.org/</v>
      </c>
    </row>
    <row r="26">
      <c r="A26" s="1">
        <v>20</v>
      </c>
      <c r="B26" s="1" t="str">
        <v>MFG-K-C</v>
      </c>
      <c r="C26" s="1" t="str">
        <v>CONFLICT-MIN</v>
      </c>
      <c r="D26" s="1" t="str">
        <v>Conflict minerals disclosure (Dodd-Frank §1502 / Reg S-K Item 1502)</v>
      </c>
      <c r="E26" s="1" t="str">
        <v>SEC Reg S-K Item 1502</v>
      </c>
      <c r="F26" s="1" t="str">
        <v>Required for issuers using 3TG (tin, tungsten, tantalum, gold).</v>
      </c>
      <c r="G26" s="1" t="str">
        <v>D/P/H/J/E (◑ for J/P)</v>
      </c>
      <c r="H26" s="1" t="str">
        <v>JUDGMENT</v>
      </c>
      <c r="I26" s="1" t="str">
        <v>Marked ◑ for J/P — applicable only where 3TG used and material.</v>
      </c>
      <c r="J26" s="1" t="str">
        <v>MEDIUM</v>
      </c>
      <c r="K26" s="1" t="str">
        <v>2026-06-22</v>
      </c>
      <c r="L26" s="1" t="str">
        <v>https://www.ecfr.gov/current/title-17/chapter-II/part-229/subpart-229.1500/section-229.1502</v>
      </c>
    </row>
    <row r="27">
      <c r="A27" s="1">
        <v>21</v>
      </c>
      <c r="B27" s="1" t="str">
        <v>MFG-K-C2</v>
      </c>
      <c r="C27" s="1" t="str">
        <v>IAS2-LIFO</v>
      </c>
      <c r="D27" s="1" t="str">
        <v>IAS 2 prohibits LIFO</v>
      </c>
      <c r="E27" s="1" t="str">
        <v>IFRS Foundation / IAS 2.25</v>
      </c>
      <c r="F27" s="1" t="str">
        <v>IAS 2 permits FIFO or weighted-average only; LIFO not permitted under IFRS.</v>
      </c>
      <c r="G27" s="1" t="str">
        <v>D/P/H/J/E</v>
      </c>
      <c r="H27" s="1" t="str">
        <v>VERIFIED</v>
      </c>
      <c r="I27" s="1" t="str">
        <v>IAS 2.25 confirmed at IFRS.org and iasplus.com.</v>
      </c>
      <c r="J27" s="1" t="str">
        <v>LOW</v>
      </c>
      <c r="K27" s="1" t="str">
        <v>2026-06-22</v>
      </c>
      <c r="L27" s="1" t="str">
        <v>https://www.ifrs.org/issued-standards/list-of-standards/ias-2-inventories/</v>
      </c>
    </row>
    <row r="28">
      <c r="A28" s="1">
        <v>22</v>
      </c>
      <c r="B28" s="1" t="str">
        <v>MFG-K-C2</v>
      </c>
      <c r="C28" s="1" t="str">
        <v>IAS16-COMP</v>
      </c>
      <c r="D28" s="1" t="str">
        <v>IAS 16 componentization requirement</v>
      </c>
      <c r="E28" s="1" t="str">
        <v>IFRS Foundation / IAS 16.43-49</v>
      </c>
      <c r="F28" s="1" t="str">
        <v>Each significant part of PP&amp;E depreciated separately.</v>
      </c>
      <c r="G28" s="1" t="str">
        <v>D/P/H/J/E (heavy in P, E)</v>
      </c>
      <c r="H28" s="1" t="str">
        <v>VERIFIED</v>
      </c>
      <c r="I28" s="1" t="str">
        <v>IAS 16.43 confirmed; divergence from US GAAP (componentization permitted but not required under ASC 360) noted.</v>
      </c>
      <c r="J28" s="1" t="str">
        <v>LOW</v>
      </c>
      <c r="K28" s="1" t="str">
        <v>2026-06-22</v>
      </c>
      <c r="L28" s="1" t="str">
        <v>https://www.ifrs.org/issued-standards/list-of-standards/ias-16-property-plant-and-equipment/</v>
      </c>
    </row>
    <row r="29">
      <c r="A29" s="1">
        <v>23</v>
      </c>
      <c r="B29" s="1" t="str">
        <v>MFG-K-C2</v>
      </c>
      <c r="C29" s="1" t="str">
        <v>IAS16-REVAL</v>
      </c>
      <c r="D29" s="1" t="str">
        <v>IAS 16 revaluation model</v>
      </c>
      <c r="E29" s="1" t="str">
        <v>IFRS Foundation / IAS 16.29-42</v>
      </c>
      <c r="F29" s="1" t="str">
        <v>Optional revaluation to fair value; OCI revaluation surplus.</v>
      </c>
      <c r="G29" s="1" t="str">
        <v>D/P/H/J/E</v>
      </c>
      <c r="H29" s="1" t="str">
        <v>VERIFIED</v>
      </c>
      <c r="I29" s="1" t="str">
        <v>IAS 16.31-42 confirmed; not available under US GAAP.</v>
      </c>
      <c r="J29" s="1" t="str">
        <v>LOW</v>
      </c>
      <c r="K29" s="1" t="str">
        <v>2026-06-22</v>
      </c>
      <c r="L29" s="1" t="str">
        <v>https://www.ifrs.org/issued-standards/list-of-standards/ias-16-property-plant-and-equipment/</v>
      </c>
    </row>
    <row r="30">
      <c r="A30" s="1">
        <v>24</v>
      </c>
      <c r="B30" s="1" t="str">
        <v>MFG-K-C2</v>
      </c>
      <c r="C30" s="1" t="str">
        <v>IFRS15-SERIES</v>
      </c>
      <c r="D30" s="1" t="str">
        <v>IFRS 15 series guidance vs. ASC 606</v>
      </c>
      <c r="E30" s="1" t="str">
        <v>IFRS Foundation / IFRS 15.B62-65</v>
      </c>
      <c r="F30" s="1" t="str">
        <v>Series guidance substantively converged; minor wording differences.</v>
      </c>
      <c r="G30" s="1" t="str">
        <v>P primary; D/H secondary</v>
      </c>
      <c r="H30" s="1" t="str">
        <v>VERIFIED</v>
      </c>
      <c r="I30" s="1" t="str">
        <v>IFRS 15.22 series criteria confirmed.</v>
      </c>
      <c r="J30" s="1" t="str">
        <v>LOW</v>
      </c>
      <c r="K30" s="1" t="str">
        <v>2026-06-22</v>
      </c>
      <c r="L30" s="1" t="str">
        <v>https://www.ifrs.org/issued-standards/list-of-standards/ifrs-15-revenue-from-contracts-with-customers/</v>
      </c>
    </row>
    <row r="31">
      <c r="A31" s="1">
        <v>25</v>
      </c>
      <c r="B31" s="1" t="str">
        <v>MFG-K-C2</v>
      </c>
      <c r="C31" s="1" t="str">
        <v>IFRS16-SINGLE</v>
      </c>
      <c r="D31" s="1" t="str">
        <v>IFRS 16 single-model lessee accounting</v>
      </c>
      <c r="E31" s="1" t="str">
        <v>IFRS Foundation / IFRS 16.22-60</v>
      </c>
      <c r="F31" s="1" t="str">
        <v>All leases (except short-term/low-value) on balance sheet as RoU + lease liability; finance-style expense pattern.</v>
      </c>
      <c r="G31" s="1" t="str">
        <v>D/P/H/J/E</v>
      </c>
      <c r="H31" s="1" t="str">
        <v>VERIFIED</v>
      </c>
      <c r="I31" s="1" t="str">
        <v>IFRS 16.22 confirmed; divergence from ASC 842 dual model noted.</v>
      </c>
      <c r="J31" s="1" t="str">
        <v>LOW</v>
      </c>
      <c r="K31" s="1" t="str">
        <v>2026-06-22</v>
      </c>
      <c r="L31" s="1" t="str">
        <v>https://www.ifrs.org/issued-standards/list-of-standards/ifrs-16-leases/</v>
      </c>
    </row>
    <row r="32">
      <c r="A32" s="1">
        <v>26</v>
      </c>
      <c r="B32" s="1" t="str">
        <v>MFG-K-C2</v>
      </c>
      <c r="C32" s="1" t="str">
        <v>IFRS-ROUTING</v>
      </c>
      <c r="D32" s="1" t="str">
        <v>Reporting basis routing logic (reportingBasis: 'US_GAAP' | 'IFRS')</v>
      </c>
      <c r="E32" s="1" t="str">
        <v>Advisacor internal spec (per Q5 resolution)</v>
      </c>
      <c r="F32" s="1" t="str">
        <v>Panel + disclosure templates branch on tenant-level reportingBasis flag.</v>
      </c>
      <c r="G32" s="1" t="str">
        <v>D/P/H/J/E</v>
      </c>
      <c r="H32" s="1" t="str">
        <v>JUDGMENT</v>
      </c>
      <c r="I32" s="1" t="str">
        <v>Internal routing spec; not a primary-source citation. Marked JUDGMENT for traceability.</v>
      </c>
      <c r="J32" s="1" t="str">
        <v>LOW</v>
      </c>
      <c r="K32" s="1" t="str">
        <v>2026-06-22</v>
      </c>
      <c r="L32" s="1" t="str">
        <v>internal: MANUFACTURING_VERTICAL_PLANNING_DOCUMENT.md §reportingBasis</v>
      </c>
    </row>
    <row r="33">
      <c r="A33" s="1">
        <v>27</v>
      </c>
      <c r="B33" s="1" t="str">
        <v>MFG-K-D</v>
      </c>
      <c r="C33" s="1" t="str">
        <v>FED-G17</v>
      </c>
      <c r="D33" s="1" t="str">
        <v>Capacity utilization — manufacturing 75.7% (May 2026)</v>
      </c>
      <c r="E33" s="1" t="str">
        <v>Federal Reserve G.17</v>
      </c>
      <c r="F33" s="1" t="str">
        <v>Manufacturing 75.7% / total industry 76.2% / 2.5pp below 1972-2025 LR avg (May 2026 release).</v>
      </c>
      <c r="G33" s="1" t="str">
        <v>D/P/H/J/E</v>
      </c>
      <c r="H33" s="1" t="str">
        <v>VERIFIED</v>
      </c>
      <c r="I33" s="1" t="str">
        <v>Confirmed live against Fed G.17 release.</v>
      </c>
      <c r="J33" s="1" t="str">
        <v>LOW</v>
      </c>
      <c r="K33" s="1" t="str">
        <v>2026-06-22</v>
      </c>
      <c r="L33" s="1" t="str">
        <v>https://www.federalreserve.gov/releases/g17/current/default.htm</v>
      </c>
    </row>
    <row r="34">
      <c r="A34" s="1">
        <v>28</v>
      </c>
      <c r="B34" s="1" t="str">
        <v>MFG-K-D</v>
      </c>
      <c r="C34" s="1" t="str">
        <v>NYU-MARGIN</v>
      </c>
      <c r="D34" s="1" t="str">
        <v>NYU Stern industry margins (Jan 2026 update)</v>
      </c>
      <c r="E34" s="1" t="str">
        <v>NYU Stern (Damodaran data)</v>
      </c>
      <c r="F34" s="1" t="str">
        <v>E.g., Machinery gross 37.5%, Specialty Chemical 35.1%, Basic Chemical 9.3%.</v>
      </c>
      <c r="G34" s="1" t="str">
        <v>D/P/H/J/E</v>
      </c>
      <c r="H34" s="1" t="str">
        <v>VERIFIED</v>
      </c>
      <c r="I34" s="1" t="str">
        <v>Confirmed against Damodaran Jan 2026 dataset.</v>
      </c>
      <c r="J34" s="1" t="str">
        <v>LOW</v>
      </c>
      <c r="K34" s="1" t="str">
        <v>2026-06-22</v>
      </c>
      <c r="L34" s="1" t="str">
        <v>https://pages.stern.nyu.edu/~adamodar/New_Home_Page/datafile/margin.html</v>
      </c>
    </row>
    <row r="35">
      <c r="A35" s="1">
        <v>29</v>
      </c>
      <c r="B35" s="1" t="str">
        <v>MFG-K-D</v>
      </c>
      <c r="C35" s="1" t="str">
        <v>CENSUS-ASM</v>
      </c>
      <c r="D35" s="1" t="str">
        <v>Census ASM 2022 dollar figures per 6-digit NAICS</v>
      </c>
      <c r="E35" s="1" t="str">
        <v>Census Bureau Annual Survey of Manufactures</v>
      </c>
      <c r="F35" s="1" t="str">
        <v>Sub-sector revenue / employment / value-added scale references.</v>
      </c>
      <c r="G35" s="1" t="str">
        <v>D/P/H/J/E</v>
      </c>
      <c r="H35" s="1" t="str">
        <v>PENDING</v>
      </c>
      <c r="I35" s="1" t="str">
        <v>Exact 6-digit table sets not extracted in Wave 1 pass. Need to pull ASM 2022 tables and lock specific dollar figures before panel ships.</v>
      </c>
      <c r="J35" s="1" t="str">
        <v>MEDIUM</v>
      </c>
      <c r="K35" s="1" t="str">
        <v>2026-06-22</v>
      </c>
      <c r="L35" s="1" t="str">
        <v>https://www.census.gov/programs-surveys/asm.html</v>
      </c>
    </row>
    <row r="36">
      <c r="A36" s="1">
        <v>30</v>
      </c>
      <c r="B36" s="1" t="str">
        <v>MFG-K-D</v>
      </c>
      <c r="C36" s="1" t="str">
        <v>INV-TURNS-SPLIT</v>
      </c>
      <c r="D36" s="1" t="str">
        <v>Inventory-turn sub-sector splits (food 10-15x vs. machinery 4-6x)</v>
      </c>
      <c r="E36" s="1" t="str">
        <v>Composite: ASM + RMA + IndustryWeek</v>
      </c>
      <c r="F36" s="1" t="str">
        <v>Directional benchmark for sub-segment differences.</v>
      </c>
      <c r="G36" s="1" t="str">
        <v>P (high) vs. D/J/E (lower)</v>
      </c>
      <c r="H36" s="1" t="str">
        <v>PENDING</v>
      </c>
      <c r="I36" s="1" t="str">
        <v>Directional only; needs RMA/ASM cross-validation for percentile bands.</v>
      </c>
      <c r="J36" s="1" t="str">
        <v>MEDIUM</v>
      </c>
      <c r="K36" s="1" t="str">
        <v>2026-06-22</v>
      </c>
      <c r="L36" s="1" t="str">
        <v>https://www.rmahq.org/annual-statement-studies/</v>
      </c>
    </row>
    <row r="37">
      <c r="A37" s="1">
        <v>31</v>
      </c>
      <c r="B37" s="1" t="str">
        <v>MFG-K-D</v>
      </c>
      <c r="C37" s="1" t="str">
        <v>PPM-DIST</v>
      </c>
      <c r="D37" s="1" t="str">
        <v>PPM / Cpk performance distribution by sub-segment</v>
      </c>
      <c r="E37" s="1" t="str">
        <v>ASQ / AIAG / Six Sigma BoK</v>
      </c>
      <c r="F37" s="1" t="str">
        <v>ASQ defines the standards; free percentile distributions by sub-segment unavailable.</v>
      </c>
      <c r="G37" s="1" t="str">
        <v>D/P/H/J/E</v>
      </c>
      <c r="H37" s="1" t="str">
        <v>PENDING</v>
      </c>
      <c r="I37" s="1" t="str">
        <v>Definition verified; distribution data behind ASQ member portal.</v>
      </c>
      <c r="J37" s="1" t="str">
        <v>MEDIUM</v>
      </c>
      <c r="K37" s="1" t="str">
        <v>2026-06-22</v>
      </c>
      <c r="L37" s="1" t="str">
        <v>https://asq.org/quality-resources/six-sigma</v>
      </c>
    </row>
    <row r="38">
      <c r="A38" s="1">
        <v>32</v>
      </c>
      <c r="B38" s="1" t="str">
        <v>MFG-K-D</v>
      </c>
      <c r="C38" s="1" t="str">
        <v>COST-STRUCTURE</v>
      </c>
      <c r="D38" s="1" t="str">
        <v>DM/DL/OH cost-structure split percentages</v>
      </c>
      <c r="E38" s="1" t="str">
        <v>Census ASM + IMA convention</v>
      </c>
      <c r="F38" s="1" t="str">
        <v>Derived from ASM aggregates + cost-accounting convention, not a single published table.</v>
      </c>
      <c r="G38" s="1" t="str">
        <v>D (50/15/35), P (60/10/30), J (45/25/30), E (40/30/30) — directional</v>
      </c>
      <c r="H38" s="1" t="str">
        <v>JUDGMENT</v>
      </c>
      <c r="I38" s="1" t="str">
        <v>Synthesized from ASM aggregates. Founder may override at NAICS config.</v>
      </c>
      <c r="J38" s="1" t="str">
        <v>MEDIUM</v>
      </c>
      <c r="K38" s="1" t="str">
        <v>2026-06-22</v>
      </c>
      <c r="L38" s="1" t="str">
        <v>https://www.census.gov/programs-surveys/asm.html</v>
      </c>
    </row>
    <row r="39">
      <c r="A39" s="1">
        <v>33</v>
      </c>
      <c r="B39" s="1" t="str">
        <v>MFG-K-D</v>
      </c>
      <c r="C39" s="1" t="str">
        <v>RMA-NACM</v>
      </c>
      <c r="D39" s="1" t="str">
        <v>RMA / NACM exact ratio medians</v>
      </c>
      <c r="E39" s="1" t="str">
        <v>RMA Annual Statement Studies / NACM credit benchmarks</v>
      </c>
      <c r="F39" s="1" t="str">
        <v>Working-capital and credit ratio medians by NAICS.</v>
      </c>
      <c r="G39" s="1" t="str">
        <v>D/P/H/J/E</v>
      </c>
      <c r="H39" s="1" t="str">
        <v>PENDING</v>
      </c>
      <c r="I39" s="1" t="str">
        <v>Paywalled microdata; verify on RMA/NACM member portals.</v>
      </c>
      <c r="J39" s="1" t="str">
        <v>MEDIUM</v>
      </c>
      <c r="K39" s="1" t="str">
        <v>2026-06-22</v>
      </c>
      <c r="L39" s="1" t="str">
        <v>https://www.rmahq.org/annual-statement-studies/</v>
      </c>
    </row>
    <row r="40">
      <c r="A40" s="1">
        <v>34</v>
      </c>
      <c r="B40" s="1" t="str">
        <v>MFG-K-D</v>
      </c>
      <c r="C40" s="1" t="str">
        <v>VAR-MAGNITUDE</v>
      </c>
      <c r="D40" s="1" t="str">
        <v>Variance magnitude ranges (Part IV)</v>
      </c>
      <c r="E40" s="1" t="str">
        <v>IMA SMA / AICPA cost-accounting pedagogy</v>
      </c>
      <c r="F40" s="1" t="str">
        <v>Typical magnitude ranges and alert thresholds (e.g., DM Price ±2-5% normal, &gt;5% flag).</v>
      </c>
      <c r="G40" s="1" t="str">
        <v>D/P/H/J/E</v>
      </c>
      <c r="H40" s="1" t="str">
        <v>JUDGMENT</v>
      </c>
      <c r="I40" s="1" t="str">
        <v>No free federal 'typical variance magnitude' dataset; synthesized from IMA/AICPA pedagogy. Needs tenant-sample validation post-deployment.</v>
      </c>
      <c r="J40" s="1" t="str">
        <v>MEDIUM</v>
      </c>
      <c r="K40" s="1" t="str">
        <v>2026-06-22</v>
      </c>
      <c r="L40" s="1" t="str">
        <v>https://www.imanet.org/career-resources/management-accounting-competency-framework</v>
      </c>
    </row>
    <row r="41">
      <c r="A41" s="1">
        <v>35</v>
      </c>
      <c r="B41" s="1" t="str">
        <v>MFG-K-D</v>
      </c>
      <c r="C41" s="1" t="str">
        <v>OEE-WORLD-CLASS</v>
      </c>
      <c r="D41" s="1" t="str">
        <v>OEE 85% world-class threshold (sub-segment context)</v>
      </c>
      <c r="E41" s="1" t="str">
        <v>Nakajima / JIPM / ASCM</v>
      </c>
      <c r="F41" s="1" t="str">
        <v>85% world-class is documented Nakajima/JIPM convention; not federal data.</v>
      </c>
      <c r="G41" s="1" t="str">
        <v>D/P/H/J/E</v>
      </c>
      <c r="H41" s="1" t="str">
        <v>JUDGMENT</v>
      </c>
      <c r="I41" s="1" t="str">
        <v>Industry convention with 30+ years of citation; founder-overridable.</v>
      </c>
      <c r="J41" s="1" t="str">
        <v>LOW</v>
      </c>
      <c r="K41" s="1" t="str">
        <v>2026-06-22</v>
      </c>
      <c r="L41" s="1" t="str">
        <v>https://www.ascm.org/learning-development/certifications-credentials/cpim/</v>
      </c>
    </row>
    <row r="42">
      <c r="A42" s="1">
        <v>36</v>
      </c>
      <c r="B42" s="1" t="str">
        <v>MFG-K-D</v>
      </c>
      <c r="C42" s="1" t="str">
        <v>GROSS-MARGIN-32</v>
      </c>
      <c r="D42" s="1" t="str">
        <v>'~32% manufacturing gross margin' headline</v>
      </c>
      <c r="E42" s="1" t="str">
        <v>NYU Stern / Census ASM (composite)</v>
      </c>
      <c r="F42" s="1" t="str">
        <v>Industry headline retained; panel uses sub-sector bands not the headline.</v>
      </c>
      <c r="G42" s="1" t="str">
        <v>D/P/H/J/E</v>
      </c>
      <c r="H42" s="1" t="str">
        <v>JUDGMENT</v>
      </c>
      <c r="I42" s="1" t="str">
        <v>Headline-only. Panel binding uses sub-sector bands from NYU Stern Jan 2026 dataset.</v>
      </c>
      <c r="J42" s="1" t="str">
        <v>LOW</v>
      </c>
      <c r="K42" s="1" t="str">
        <v>2026-06-22</v>
      </c>
      <c r="L42" s="1" t="str">
        <v>https://pages.stern.nyu.edu/~adamodar/New_Home_Page/datafile/margin.html</v>
      </c>
    </row>
    <row r="43">
      <c r="A43" s="1">
        <v>37</v>
      </c>
      <c r="B43" s="1" t="str">
        <v>MFG-K-D</v>
      </c>
      <c r="C43" s="1" t="str">
        <v>ETO-LEARNING</v>
      </c>
      <c r="D43" s="1" t="str">
        <v>ETO first-article DL-efficiency carve-out</v>
      </c>
      <c r="E43" s="1" t="str">
        <v>Crawford learning curve / IMA cost accounting</v>
      </c>
      <c r="F43" s="1" t="str">
        <v>ETO first-article variance treated differently (learning-curve adjustment).</v>
      </c>
      <c r="G43" s="1" t="str">
        <v>E only</v>
      </c>
      <c r="H43" s="1" t="str">
        <v>JUDGMENT</v>
      </c>
      <c r="I43" s="1" t="str">
        <v>Standard learning-curve treatment. Founder + auditor confirm at contract config.</v>
      </c>
      <c r="J43" s="1" t="str">
        <v>LOW</v>
      </c>
      <c r="K43" s="1" t="str">
        <v>2026-06-22</v>
      </c>
      <c r="L43" s="1" t="str">
        <v>https://www.imanet.org/career-resources/management-accounting-competency-framework</v>
      </c>
    </row>
    <row r="44">
      <c r="A44" s="1">
        <v>38</v>
      </c>
      <c r="B44" s="1" t="str">
        <v>MFG-K-D</v>
      </c>
      <c r="C44" s="1" t="str">
        <v>CAPUTIL-BANDS</v>
      </c>
      <c r="D44" s="1" t="str">
        <v>Two-sided capacity-utilization band logic</v>
      </c>
      <c r="E44" s="1" t="str">
        <v>Federal Reserve G.17 + ASCM</v>
      </c>
      <c r="F44" s="1" t="str">
        <v>Under-utilization AND over-utilization both flag (over-utilization signals quality/maintenance risk).</v>
      </c>
      <c r="G44" s="1" t="str">
        <v>D/P/H/J/E</v>
      </c>
      <c r="H44" s="1" t="str">
        <v>JUDGMENT</v>
      </c>
      <c r="I44" s="1" t="str">
        <v>Two-sided band logic is internal design choice; primary data from G.17.</v>
      </c>
      <c r="J44" s="1" t="str">
        <v>LOW</v>
      </c>
      <c r="K44" s="1" t="str">
        <v>2026-06-22</v>
      </c>
      <c r="L44" s="1" t="str">
        <v>https://www.federalreserve.gov/releases/g17/current/default.htm</v>
      </c>
    </row>
    <row r="45">
      <c r="A45" s="1">
        <v>39</v>
      </c>
      <c r="B45" s="1" t="str">
        <v>MFG-K-D</v>
      </c>
      <c r="C45" s="1" t="str">
        <v>HYBRID-NAICS</v>
      </c>
      <c r="D45" s="1" t="str">
        <v>Hybrid (H) has no native NAICS code</v>
      </c>
      <c r="E45" s="1" t="str">
        <v>Census NAICS manual</v>
      </c>
      <c r="F45" s="1" t="str">
        <v>H is founder-declared boundary between discrete + process workflows in a single facility.</v>
      </c>
      <c r="G45" s="1" t="str">
        <v>H only</v>
      </c>
      <c r="H45" s="1" t="str">
        <v>JUDGMENT</v>
      </c>
      <c r="I45" s="1" t="str">
        <v>No federal NAICS code maps to 'hybrid'; founder-declared at onboarding.</v>
      </c>
      <c r="J45" s="1" t="str">
        <v>MEDIUM</v>
      </c>
      <c r="K45" s="1" t="str">
        <v>2026-06-22</v>
      </c>
      <c r="L45" s="1" t="str">
        <v>https://www.census.gov/naics/</v>
      </c>
    </row>
    <row r="46">
      <c r="A46" s="1">
        <v>40</v>
      </c>
      <c r="B46" s="1" t="str">
        <v>MFG-K-D</v>
      </c>
      <c r="C46" s="1" t="str">
        <v>JOBSHOP-ETO-BOUNDARY</v>
      </c>
      <c r="D46" s="1" t="str">
        <v>Job Shop (J) vs. ETO (E) operational boundary</v>
      </c>
      <c r="E46" s="1" t="str">
        <v>ASCM / industry convention</v>
      </c>
      <c r="F46" s="1" t="str">
        <v>J = repeatable custom on stable tooling; E = one-off engineered design + build.</v>
      </c>
      <c r="G46" s="1" t="str">
        <v>J vs. E boundary</v>
      </c>
      <c r="H46" s="1" t="str">
        <v>JUDGMENT</v>
      </c>
      <c r="I46" s="1" t="str">
        <v>Operational boundary; founder-declared. Often overlap in practice.</v>
      </c>
      <c r="J46" s="1" t="str">
        <v>MEDIUM</v>
      </c>
      <c r="K46" s="1" t="str">
        <v>2026-06-22</v>
      </c>
      <c r="L46" s="1" t="str">
        <v>https://www.ascm.org/learning-development/certifications-credentials/cpim/</v>
      </c>
    </row>
    <row r="47">
      <c r="A47" s="1">
        <v>46</v>
      </c>
      <c r="B47" s="1" t="str">
        <v>MFG-K-B</v>
      </c>
      <c r="C47" s="1" t="str">
        <v>IMA-VAR</v>
      </c>
      <c r="D47" s="1" t="str">
        <v>IMA SCVA variance formulas (MFG-V-01..08)</v>
      </c>
      <c r="E47" s="1" t="str">
        <v>IMA</v>
      </c>
      <c r="F47" s="1" t="str">
        <v>Standard cost variance formulas: DM price, DM usage, DL rate, DL efficiency, VOH spending/efficiency, FOH spending/volume.</v>
      </c>
      <c r="G47" s="1" t="str">
        <v>D/P/H/J/E</v>
      </c>
      <c r="H47" s="1" t="str">
        <v>VERIFIED</v>
      </c>
      <c r="I47" s="1" t="str">
        <v>Primary IMA SCVA citation URL for manufacturing variance KPI block.</v>
      </c>
      <c r="J47" s="1" t="str">
        <v>HIGH</v>
      </c>
      <c r="K47" s="1" t="str">
        <v>2026-06-22</v>
      </c>
      <c r="L47" s="1" t="str">
        <v>https://www.imanet.org/-/media/002311a905634b6a9840236afbb60428.ashx</v>
      </c>
    </row>
  </sheetData>
  <ignoredErrors>
    <ignoredError numberStoredAsText="1" sqref="A1:L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I31"/>
  <sheetViews>
    <sheetView workbookViewId="0" rightToLeft="0"/>
  </sheetViews>
  <sheetData>
    <row r="2">
      <c r="B2" s="1" t="str">
        <v>DRAFT / SPEC ONLY — Sub-segment applicability matrix; consumed by the manufacturing variance panel router (per Q1 + Q7 resolutions).</v>
      </c>
    </row>
    <row r="4">
      <c r="B4" s="1" t="str">
        <v>Sub-Segment Applicability Matrix</v>
      </c>
    </row>
    <row r="5">
      <c r="B5" s="1" t="str">
        <v>Legend: ✓ = applies / standard; ◑ = applies with judgment / context-dependent; — = does not apply / not applicable; ✗ = explicitly prohibited.</v>
      </c>
    </row>
    <row r="7">
      <c r="B7" s="1" t="str">
        <v>Module</v>
      </c>
      <c r="C7" s="1" t="str">
        <v>Item</v>
      </c>
      <c r="D7" s="1" t="str">
        <v>D (Discrete)</v>
      </c>
      <c r="E7" s="1" t="str">
        <v>P (Process)</v>
      </c>
      <c r="F7" s="1" t="str">
        <v>H (Hybrid)</v>
      </c>
      <c r="G7" s="1" t="str">
        <v>J (Job Shop)</v>
      </c>
      <c r="H7" s="1" t="str">
        <v>E (ETO)</v>
      </c>
      <c r="I7" s="1" t="str">
        <v>Notes</v>
      </c>
    </row>
    <row r="8">
      <c r="B8" s="1" t="str">
        <v>MFG-K-A KPIs</v>
      </c>
      <c r="C8" s="1" t="str">
        <v>Variance panel — MFG-V-01..08 (realized)</v>
      </c>
      <c r="D8" s="1" t="str">
        <v>✓</v>
      </c>
      <c r="E8" s="1" t="str">
        <v>✓</v>
      </c>
      <c r="F8" s="1" t="str">
        <v>✓</v>
      </c>
      <c r="G8" s="1" t="str">
        <v>✓</v>
      </c>
      <c r="H8" s="1" t="str">
        <v>✓</v>
      </c>
      <c r="I8" s="1" t="str">
        <v>All 8 realized variances apply across all 5 sub-segments.</v>
      </c>
    </row>
    <row r="9">
      <c r="B9" s="1" t="str">
        <v>MFG-K-A KPIs</v>
      </c>
      <c r="C9" s="1" t="str">
        <v>MFG-V-09/10 (mix/yield variances)</v>
      </c>
      <c r="D9" s="1" t="str">
        <v>✓</v>
      </c>
      <c r="E9" s="1" t="str">
        <v>✓</v>
      </c>
      <c r="F9" s="1" t="str">
        <v>✓</v>
      </c>
      <c r="G9" s="1" t="str">
        <v>◑</v>
      </c>
      <c r="H9" s="1" t="str">
        <v>—</v>
      </c>
      <c r="I9" s="1" t="str">
        <v>Material mix/yield primarily Process; rare in Discrete/Hybrid; not used in pure Job/ETO.</v>
      </c>
    </row>
    <row r="10">
      <c r="B10" s="1" t="str">
        <v>MFG-K-A KPIs</v>
      </c>
      <c r="C10" s="1" t="str">
        <v>MFG-FV-01..08 (forecast variances)</v>
      </c>
      <c r="D10" s="1" t="str">
        <v>✓</v>
      </c>
      <c r="E10" s="1" t="str">
        <v>✓</v>
      </c>
      <c r="F10" s="1" t="str">
        <v>✓</v>
      </c>
      <c r="G10" s="1" t="str">
        <v>✓</v>
      </c>
      <c r="H10" s="1" t="str">
        <v>◑</v>
      </c>
      <c r="I10" s="1" t="str">
        <v>Forecast meaningful where demand signal exists. ETO often single-order book; ◑.</v>
      </c>
    </row>
    <row r="11">
      <c r="B11" s="1" t="str">
        <v>MFG-K-A KPIs</v>
      </c>
      <c r="C11" s="1" t="str">
        <v>OEE (Availability × Performance × Quality)</v>
      </c>
      <c r="D11" s="1" t="str">
        <v>✓</v>
      </c>
      <c r="E11" s="1" t="str">
        <v>✓</v>
      </c>
      <c r="F11" s="1" t="str">
        <v>✓</v>
      </c>
      <c r="G11" s="1" t="str">
        <v>◑</v>
      </c>
      <c r="H11" s="1" t="str">
        <v>◑</v>
      </c>
      <c r="I11" s="1" t="str">
        <v>OEE strongest in repetitive D/P. Job/ETO use per-job efficiency instead.</v>
      </c>
    </row>
    <row r="12">
      <c r="B12" s="1" t="str">
        <v>MFG-K-A KPIs</v>
      </c>
      <c r="C12" s="1" t="str">
        <v>Takt time</v>
      </c>
      <c r="D12" s="1" t="str">
        <v>✓</v>
      </c>
      <c r="E12" s="1" t="str">
        <v>◑</v>
      </c>
      <c r="F12" s="1" t="str">
        <v>✓</v>
      </c>
      <c r="G12" s="1" t="str">
        <v>✓</v>
      </c>
      <c r="H12" s="1" t="str">
        <v>—</v>
      </c>
      <c r="I12" s="1" t="str">
        <v>Takt assumes repetitive flow; Process substitutes throughput rate; ETO N/A.</v>
      </c>
    </row>
    <row r="13">
      <c r="B13" s="1" t="str">
        <v>MFG-K-A KPIs</v>
      </c>
      <c r="C13" s="1" t="str">
        <v>Backlog (forward-revenue indicator)</v>
      </c>
      <c r="D13" s="1" t="str">
        <v>◑</v>
      </c>
      <c r="E13" s="1" t="str">
        <v>—</v>
      </c>
      <c r="F13" s="1" t="str">
        <v>◑</v>
      </c>
      <c r="G13" s="1" t="str">
        <v>✓</v>
      </c>
      <c r="H13" s="1" t="str">
        <v>✓</v>
      </c>
      <c r="I13" s="1" t="str">
        <v>Backlog most relevant J/E; Process plants sell from inventory.</v>
      </c>
    </row>
    <row r="14">
      <c r="B14" s="1" t="str">
        <v>MFG-K-A KPIs</v>
      </c>
      <c r="C14" s="1" t="str">
        <v>Rework rate</v>
      </c>
      <c r="D14" s="1" t="str">
        <v>✓</v>
      </c>
      <c r="E14" s="1" t="str">
        <v>◑</v>
      </c>
      <c r="F14" s="1" t="str">
        <v>✓</v>
      </c>
      <c r="G14" s="1" t="str">
        <v>✓</v>
      </c>
      <c r="H14" s="1" t="str">
        <v>✓</v>
      </c>
      <c r="I14" s="1" t="str">
        <v>Process often re-blends in-line, not tracked as discrete rework.</v>
      </c>
    </row>
    <row r="15">
      <c r="B15" s="1" t="str">
        <v>MFG-K-B ASC 606</v>
      </c>
      <c r="C15" s="1" t="str">
        <v>Over-time recognition (criterion 3 — no alternative use)</v>
      </c>
      <c r="D15" s="1" t="str">
        <v>◑</v>
      </c>
      <c r="E15" s="1" t="str">
        <v>—</v>
      </c>
      <c r="F15" s="1" t="str">
        <v>◑</v>
      </c>
      <c r="G15" s="1" t="str">
        <v>✓</v>
      </c>
      <c r="H15" s="1" t="str">
        <v>✓</v>
      </c>
      <c r="I15" s="1" t="str">
        <v>Process output typically has alternative use → PIT. Custom D/H → ◑.</v>
      </c>
    </row>
    <row r="16">
      <c r="B16" s="1" t="str">
        <v>MFG-K-B ASC 606</v>
      </c>
      <c r="C16" s="1" t="str">
        <v>Significant financing component</v>
      </c>
      <c r="D16" s="1" t="str">
        <v>◑</v>
      </c>
      <c r="E16" s="1" t="str">
        <v>—</v>
      </c>
      <c r="F16" s="1" t="str">
        <v>◑</v>
      </c>
      <c r="G16" s="1" t="str">
        <v>—</v>
      </c>
      <c r="H16" s="1" t="str">
        <v>✓</v>
      </c>
      <c r="I16" s="1" t="str">
        <v>Most common in ETO long lead times; ◑ for large custom D.</v>
      </c>
    </row>
    <row r="17">
      <c r="B17" s="1" t="str">
        <v>MFG-K-B ASC 606</v>
      </c>
      <c r="C17" s="1" t="str">
        <v>Bill-and-hold (ASC 606-10-55-81..84)</v>
      </c>
      <c r="D17" s="1" t="str">
        <v>◑</v>
      </c>
      <c r="E17" s="1" t="str">
        <v>◑</v>
      </c>
      <c r="F17" s="1" t="str">
        <v>◑</v>
      </c>
      <c r="G17" s="1" t="str">
        <v>◑</v>
      </c>
      <c r="H17" s="1" t="str">
        <v>◑</v>
      </c>
      <c r="I17" s="1" t="str">
        <v>Rare across all sub-segments; case-by-case contract review.</v>
      </c>
    </row>
    <row r="18">
      <c r="B18" s="1" t="str">
        <v>MFG-K-B ASC 606</v>
      </c>
      <c r="C18" s="1" t="str">
        <v>Series guidance (homogeneous repetitive units)</v>
      </c>
      <c r="D18" s="1" t="str">
        <v>✓</v>
      </c>
      <c r="E18" s="1" t="str">
        <v>✓</v>
      </c>
      <c r="F18" s="1" t="str">
        <v>✓</v>
      </c>
      <c r="G18" s="1" t="str">
        <v>—</v>
      </c>
      <c r="H18" s="1" t="str">
        <v>—</v>
      </c>
      <c r="I18" s="1" t="str">
        <v>Series guidance binds Distinct vs. Series determination.</v>
      </c>
    </row>
    <row r="19">
      <c r="B19" s="1" t="str">
        <v>MFG-K-C Disclosures</v>
      </c>
      <c r="C19" s="1" t="str">
        <v>LIFO eligibility (US GAAP)</v>
      </c>
      <c r="D19" s="1" t="str">
        <v>✓</v>
      </c>
      <c r="E19" s="1" t="str">
        <v>✓</v>
      </c>
      <c r="F19" s="1" t="str">
        <v>✓</v>
      </c>
      <c r="G19" s="1" t="str">
        <v>✓</v>
      </c>
      <c r="H19" s="1" t="str">
        <v>—</v>
      </c>
      <c r="I19" s="1" t="str">
        <v>ETO typically holds WIP, not finished-goods inventory subject to LIFO.</v>
      </c>
    </row>
    <row r="20">
      <c r="B20" s="1" t="str">
        <v>MFG-K-C Disclosures</v>
      </c>
      <c r="C20" s="1" t="str">
        <v>LIFO reserve disclosure (ASC 330-10-50-1)</v>
      </c>
      <c r="D20" s="1" t="str">
        <v>✓</v>
      </c>
      <c r="E20" s="1" t="str">
        <v>✓</v>
      </c>
      <c r="F20" s="1" t="str">
        <v>✓</v>
      </c>
      <c r="G20" s="1" t="str">
        <v>✓</v>
      </c>
      <c r="H20" s="1" t="str">
        <v>—</v>
      </c>
      <c r="I20" s="1" t="str">
        <v>Required when LIFO elected; with IRC §472 conformity.</v>
      </c>
    </row>
    <row r="21">
      <c r="B21" s="1" t="str">
        <v>MFG-K-C Disclosures</v>
      </c>
      <c r="C21" s="1" t="str">
        <v>Conflict minerals (Reg S-K Item 1502)</v>
      </c>
      <c r="D21" s="1" t="str">
        <v>✓</v>
      </c>
      <c r="E21" s="1" t="str">
        <v>◑</v>
      </c>
      <c r="F21" s="1" t="str">
        <v>✓</v>
      </c>
      <c r="G21" s="1" t="str">
        <v>◑</v>
      </c>
      <c r="H21" s="1" t="str">
        <v>✓</v>
      </c>
      <c r="I21" s="1" t="str">
        <v>Applies where 3TG used and material; ◑ for P/J.</v>
      </c>
    </row>
    <row r="22">
      <c r="B22" s="1" t="str">
        <v>MFG-K-C Disclosures</v>
      </c>
      <c r="C22" s="1" t="str">
        <v>Climate disclosure (Reg S-K Subpart 1500)</v>
      </c>
      <c r="D22" s="1" t="str">
        <v>✓</v>
      </c>
      <c r="E22" s="1" t="str">
        <v>✓</v>
      </c>
      <c r="F22" s="1" t="str">
        <v>✓</v>
      </c>
      <c r="G22" s="1" t="str">
        <v>✓</v>
      </c>
      <c r="H22" s="1" t="str">
        <v>✓</v>
      </c>
      <c r="I22" s="1" t="str">
        <v>Issuer-size-tiered; rule status fluid — see PENDING entry in register.</v>
      </c>
    </row>
    <row r="23">
      <c r="B23" s="1" t="str">
        <v>MFG-K-C Disclosures</v>
      </c>
      <c r="C23" s="1" t="str">
        <v>ASC 842 dual classification (operating vs. finance)</v>
      </c>
      <c r="D23" s="1" t="str">
        <v>✓</v>
      </c>
      <c r="E23" s="1" t="str">
        <v>✓</v>
      </c>
      <c r="F23" s="1" t="str">
        <v>✓</v>
      </c>
      <c r="G23" s="1" t="str">
        <v>✓</v>
      </c>
      <c r="H23" s="1" t="str">
        <v>✓</v>
      </c>
      <c r="I23" s="1" t="str">
        <v>All sub-segments; lessee dual model retained under US GAAP.</v>
      </c>
    </row>
    <row r="24">
      <c r="B24" s="1" t="str">
        <v>MFG-K-C2 IFRS</v>
      </c>
      <c r="C24" s="1" t="str">
        <v>LIFO permitted</v>
      </c>
      <c r="D24" s="1" t="str">
        <v>✗</v>
      </c>
      <c r="E24" s="1" t="str">
        <v>✗</v>
      </c>
      <c r="F24" s="1" t="str">
        <v>✗</v>
      </c>
      <c r="G24" s="1" t="str">
        <v>✗</v>
      </c>
      <c r="H24" s="1" t="str">
        <v>✗</v>
      </c>
      <c r="I24" s="1" t="str">
        <v>IFRS IAS 2.25 — LIFO prohibited for IFRS reporters.</v>
      </c>
    </row>
    <row r="25">
      <c r="B25" s="1" t="str">
        <v>MFG-K-C2 IFRS</v>
      </c>
      <c r="C25" s="1" t="str">
        <v>IAS 16 componentization</v>
      </c>
      <c r="D25" s="1" t="str">
        <v>✓</v>
      </c>
      <c r="E25" s="1" t="str">
        <v>✓</v>
      </c>
      <c r="F25" s="1" t="str">
        <v>✓</v>
      </c>
      <c r="G25" s="1" t="str">
        <v>✓</v>
      </c>
      <c r="H25" s="1" t="str">
        <v>✓</v>
      </c>
      <c r="I25" s="1" t="str">
        <v>Required for IFRS reporters; significant impact in P/E.</v>
      </c>
    </row>
    <row r="26">
      <c r="B26" s="1" t="str">
        <v>MFG-K-C2 IFRS</v>
      </c>
      <c r="C26" s="1" t="str">
        <v>IAS 16 revaluation model (optional)</v>
      </c>
      <c r="D26" s="1" t="str">
        <v>◑</v>
      </c>
      <c r="E26" s="1" t="str">
        <v>◑</v>
      </c>
      <c r="F26" s="1" t="str">
        <v>◑</v>
      </c>
      <c r="G26" s="1" t="str">
        <v>◑</v>
      </c>
      <c r="H26" s="1" t="str">
        <v>◑</v>
      </c>
      <c r="I26" s="1" t="str">
        <v>Available under IFRS only; founder elects per asset class.</v>
      </c>
    </row>
    <row r="27">
      <c r="B27" s="1" t="str">
        <v>MFG-K-C2 IFRS</v>
      </c>
      <c r="C27" s="1" t="str">
        <v>IFRS 16 single-model lessee</v>
      </c>
      <c r="D27" s="1" t="str">
        <v>✓</v>
      </c>
      <c r="E27" s="1" t="str">
        <v>✓</v>
      </c>
      <c r="F27" s="1" t="str">
        <v>✓</v>
      </c>
      <c r="G27" s="1" t="str">
        <v>✓</v>
      </c>
      <c r="H27" s="1" t="str">
        <v>✓</v>
      </c>
      <c r="I27" s="1" t="str">
        <v>All leases (ex. short-term/low-value) on balance sheet.</v>
      </c>
    </row>
    <row r="28">
      <c r="B28" s="1" t="str">
        <v>MFG-K-D Benchmarks</v>
      </c>
      <c r="C28" s="1" t="str">
        <v>Federal Reserve G.17 capacity utilization</v>
      </c>
      <c r="D28" s="1" t="str">
        <v>✓</v>
      </c>
      <c r="E28" s="1" t="str">
        <v>✓</v>
      </c>
      <c r="F28" s="1" t="str">
        <v>✓</v>
      </c>
      <c r="G28" s="1" t="str">
        <v>✓</v>
      </c>
      <c r="H28" s="1" t="str">
        <v>✓</v>
      </c>
      <c r="I28" s="1" t="str">
        <v>Manufacturing-wide 75.7% May 2026.</v>
      </c>
    </row>
    <row r="29">
      <c r="B29" s="1" t="str">
        <v>MFG-K-D Benchmarks</v>
      </c>
      <c r="C29" s="1" t="str">
        <v>Inventory turns (4-6x avg, 10-12x top quartile)</v>
      </c>
      <c r="D29" s="1" t="str">
        <v>✓</v>
      </c>
      <c r="E29" s="1" t="str">
        <v>✓</v>
      </c>
      <c r="F29" s="1" t="str">
        <v>✓</v>
      </c>
      <c r="G29" s="1" t="str">
        <v>◑</v>
      </c>
      <c r="H29" s="1" t="str">
        <v>—</v>
      </c>
      <c r="I29" s="1" t="str">
        <v>Process typically higher; ETO holds WIP not finished goods.</v>
      </c>
    </row>
    <row r="30">
      <c r="B30" s="1" t="str">
        <v>MFG-K-D Benchmarks</v>
      </c>
      <c r="C30" s="1" t="str">
        <v>Gross margin sub-sector bands (NYU Stern Jan 2026)</v>
      </c>
      <c r="D30" s="1" t="str">
        <v>✓</v>
      </c>
      <c r="E30" s="1" t="str">
        <v>✓</v>
      </c>
      <c r="F30" s="1" t="str">
        <v>✓</v>
      </c>
      <c r="G30" s="1" t="str">
        <v>✓</v>
      </c>
      <c r="H30" s="1" t="str">
        <v>✓</v>
      </c>
      <c r="I30" s="1" t="str">
        <v>Sub-sector specific; panel uses NAICS lookup not headline 32%.</v>
      </c>
    </row>
    <row r="31">
      <c r="B31" s="1" t="str">
        <v>MFG-K-D Benchmarks</v>
      </c>
      <c r="C31" s="1" t="str">
        <v>Forecast accuracy targets (ASCM MAPE &lt;15% / &lt;10%)</v>
      </c>
      <c r="D31" s="1" t="str">
        <v>✓</v>
      </c>
      <c r="E31" s="1" t="str">
        <v>✓</v>
      </c>
      <c r="F31" s="1" t="str">
        <v>✓</v>
      </c>
      <c r="G31" s="1" t="str">
        <v>✓</v>
      </c>
      <c r="H31" s="1" t="str">
        <v>◑</v>
      </c>
      <c r="I31" s="1" t="str">
        <v>ETO often non-stochastic demand; ◑.</v>
      </c>
    </row>
  </sheetData>
  <mergeCells count="3">
    <mergeCell ref="B2:I2"/>
    <mergeCell ref="B4:I4"/>
    <mergeCell ref="B5:I5"/>
  </mergeCells>
  <pageMargins left="0.75" right="0.75" top="1" bottom="1" header="0.511811023622047" footer="0.511811023622047"/>
  <ignoredErrors>
    <ignoredError numberStoredAsText="1" sqref="B1:I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1:B37"/>
  <sheetViews>
    <sheetView workbookViewId="0" rightToLeft="0"/>
  </sheetViews>
  <sheetData>
    <row r="2">
      <c r="B2" s="1" t="str">
        <v>DRAFT / SPEC ONLY — Verifier instructions for MFG-K-E.</v>
      </c>
    </row>
    <row r="4">
      <c r="B4" s="1" t="str">
        <v>Manufacturing Citation Verification Register — Instructions</v>
      </c>
    </row>
    <row r="6">
      <c r="B6" s="1" t="str">
        <v>PURPOSE</v>
      </c>
    </row>
    <row r="7">
      <c r="B7" s="1" t="str">
        <v>Confirm the citations Advisacor loaded into Wave 1 source documents (MFG-K-A through MFG-K-D) match their authoritative primary sources. This register is the checking worksheet; the source documents themselves are the deliverable. Per Phase 42.5 close-out discipline: this is a PLANNING / DRAFT register only — locking requires real spine code + D0 proof + 20 PCs green + CPA/HIPAA-counsel engaged.</v>
      </c>
    </row>
    <row r="9">
      <c r="B9" s="1" t="str">
        <v>SCOPE</v>
      </c>
    </row>
    <row r="10">
      <c r="B10" s="1" t="str">
        <v>Wave 1 covers KPIs (MFG-K-A), ASC 606 (MFG-K-B), Disclosures (MFG-K-C), IFRS (MFG-K-C2), and Benchmarks (MFG-K-D). Each module is the source of authority for its rows in the Verification Register.</v>
      </c>
    </row>
    <row r="12">
      <c r="B12" s="1" t="str">
        <v>WORKFLOW</v>
      </c>
    </row>
    <row r="13">
      <c r="B13" s="1" t="str">
        <v>For each register row: (1) Open the Source URL live; (2) Compare the loaded citation against what the primary source actually says; (3) Set Status — VERIFIED / PENDING / FLAG / JUDGMENT; (4) Log Finding / Correction column with any discrepancies; (5) Initial + date. For PENDING rows, document why a live primary fetch could not be completed (auth-wall, 403, paywall, subscription). For FLAG rows, propose a corrective edit to the source doc.</v>
      </c>
    </row>
    <row r="15">
      <c r="B15" s="1" t="str">
        <v>STATUS DEFINITIONS</v>
      </c>
    </row>
    <row r="16">
      <c r="B16" s="1" t="str">
        <v>VERIFIED — primary-source URL retrieved live; cited figure / definition / formula matches verbatim or within stated tolerance. PENDING — citation loaded but live fetch deferred (auth-walled, 403, subscription-gated). FLAG — discrepancy detected, OR primary URL unreachable and no equivalent fallback found. JUDGMENT (◑) — loaded as professional/industry convention without a single sole authoritative primary; founder-overridable at config time.</v>
      </c>
    </row>
    <row r="18">
      <c r="B18" s="1" t="str">
        <v>PRIORITY DEFINITIONS</v>
      </c>
    </row>
    <row r="19">
      <c r="B19" s="1" t="str">
        <v>HIGH — affects panel binding or disclosure correctness; resolve before Wave 2 build. MEDIUM — affects accuracy of benchmark band or sub-segment routing; resolve before founder-facing release. LOW — convention citation or low-risk; can be batch-cleared at quarterly review.</v>
      </c>
    </row>
    <row r="21">
      <c r="B21" s="1" t="str">
        <v>SUB-SEGMENT NOTATION</v>
      </c>
    </row>
    <row r="22">
      <c r="B22" s="1" t="str">
        <v>D = Discrete; P = Process; H = Hybrid; J = Job Shop; E = Engineer-to-Order. Apply per Q1 resolution (all 5 sub-types covered).</v>
      </c>
    </row>
    <row r="24">
      <c r="B24" s="1" t="str">
        <v>REPORTING BASIS</v>
      </c>
    </row>
    <row r="25">
      <c r="B25" s="1" t="str">
        <v>Per Q5 resolution, all panels carry reportingBasis: 'US_GAAP' | 'IFRS'. MFG-K-C feeds US_GAAP; MFG-K-C2 feeds IFRS. Verification rows are tagged by module so the routing target is clear.</v>
      </c>
    </row>
    <row r="27">
      <c r="B27" s="1" t="str">
        <v>WAVE 1 EXIT CRITERIA</v>
      </c>
    </row>
    <row r="28">
      <c r="B28" s="1" t="str">
        <v>Before declaring Wave 1 complete and proceeding to Wave 2 (MFG-K-F through MFG-K-K spec work): (a) zero HIGH-priority FLAG rows remain open; (b) all MEDIUM-priority PENDING rows have either escalated to FLAG or been re-classified VERIFIED with primary-source confirmation; (c) founder sign-off captured in a separate planning document update.</v>
      </c>
    </row>
    <row r="30">
      <c r="B30" s="1" t="str">
        <v>CARRY-FORWARD DISCIPLINE</v>
      </c>
    </row>
    <row r="31">
      <c r="B31" s="1" t="str">
        <v>PLANNING DOCUMENT not 'lock'. DO NOT modify Phase 42 source files (locked at b11adcd). NEVER force-push. Reconnaissance before patching. Spec-driven build pattern. DRAFT/SPEC banner verbatim on every doc. executable: false. containsVerticalComplianceLogic: true. Composition not reimplementation. Additive only — no edits to existing CHK numbering. Phase 42.6 (SOC/HIPAA external) deferred until counsel/CPA/pentest engaged.</v>
      </c>
    </row>
    <row r="33">
      <c r="B33" s="1" t="str">
        <v>PRIMARY SOURCE WHITELIST (recap)</v>
      </c>
    </row>
    <row r="34">
      <c r="B34" s="1" t="str">
        <v>Cost accounting: imanet.org, aicpa-cima.com. Inventory/Revenue: dart.deloitte.com, fasb.org / asc.fasb.org, kpmg.com, ey.com, grantthornton.com, rsmus.com, pwc.com. Operations/OEE: ascm.org, asq.org, iso.org. Disclosure: sec.gov, ecfr.gov. Benchmarks: federalreserve.gov, bls.gov, census.gov, nacm.org, rmahq.org. IFRS: ifrs.org, iasplus.com. Sustainability: ghgprotocol.org, epa.gov. Secondary cross-ref only (never sole citation): IndustryWeek, Oracle NetSuite, Dintec, Eagle Rock CFO, NYU Stern (Damodaran).</v>
      </c>
    </row>
    <row r="36">
      <c r="B36" s="1" t="str">
        <v>HAND-OFF TO MFG-K-E v2</v>
      </c>
    </row>
    <row r="37">
      <c r="B37" s="1" t="str">
        <v>When this register is closed (all HIGH FLAGs resolved), copy the FLAG and PENDING rows into a new tab 'v2 Open Items' for the next pass. Append a date-stamped row to the Summary aggregate counts. DO NOT delete VERIFIED rows — they are the audit trail.</v>
      </c>
    </row>
  </sheetData>
  <pageMargins left="0.75" right="0.75" top="1" bottom="1" header="0.511811023622047" footer="0.511811023622047"/>
  <ignoredErrors>
    <ignoredError numberStoredAsText="1" sqref="B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 Register</vt:lpstr>
      <vt:lpstr>Sub-Segment Matrix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2026-06-23T02:47:38Z</dcterms:created>
  <dcterms:modified xsi:type="dcterms:W3CDTF">2026-06-23T02:51:11Z</dcterms:modified>
  <cp:revision>0</cp:revision>
  <dc:creator>openpyxl</dc:creator>
  <dc:language>en-US</dc:language>
</cp:coreProperties>
</file>