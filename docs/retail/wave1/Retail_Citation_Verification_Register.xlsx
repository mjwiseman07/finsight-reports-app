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rification Register" sheetId="2" state="visible" r:id="rId4"/>
    <sheet name="Sub-Segment Matrix" sheetId="3" state="visible" r:id="rId5"/>
    <sheet name="Instructions" sheetId="4" state="visible" r:id="rId6"/>
  </sheets>
  <definedNames>
    <definedName function="false" hidden="true" localSheetId="1" name="_xlnm._FilterDatabase" vbProcedure="false">'Verification Register'!$B$6:$M$52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<sst xmlns="http://schemas.openxmlformats.org/spreadsheetml/2006/main" count="861" uniqueCount="434">
  <si>
    <t xml:space="preserve">DRAFT / SPEC ONLY — NOT EXECUTABLE — Composition-only verification register. No spine code, no D0 proof, no PC gates passed. Phase: Retail Vertical Knowledge Stack — Wave 1 / RTL-K-E.</t>
  </si>
  <si>
    <t xml:space="preserve">Retail Citation Verification Register</t>
  </si>
  <si>
    <t xml:space="preserve">Wave 1 — verification pass for RTL-K-A through RTL-K-D source documents. Generated June 23, 2026.</t>
  </si>
  <si>
    <t xml:space="preserve">Source Documents Covered</t>
  </si>
  <si>
    <t xml:space="preserve">Module</t>
  </si>
  <si>
    <t xml:space="preserve">Lines</t>
  </si>
  <si>
    <t xml:space="preserve">Document Path</t>
  </si>
  <si>
    <t xml:space="preserve">RTL-K-A — KPIs</t>
  </si>
  <si>
    <t xml:space="preserve">/home/user/workspace/Retail_KPIs_Sources.md</t>
  </si>
  <si>
    <t xml:space="preserve">RTL-K-B — ASC 606</t>
  </si>
  <si>
    <t xml:space="preserve">/home/user/workspace/Retail_ASC606_Sources.md</t>
  </si>
  <si>
    <t xml:space="preserve">RTL-K-C — Disclosures (ASC 330/RIM/842/Reg S-K)</t>
  </si>
  <si>
    <t xml:space="preserve">/home/user/workspace/Retail_Disclosures_Sources.md</t>
  </si>
  <si>
    <t xml:space="preserve">RTL-K-C2 — IFRS Peer Doc</t>
  </si>
  <si>
    <t xml:space="preserve">/home/user/workspace/Retail_IFRS_Sources.md</t>
  </si>
  <si>
    <t xml:space="preserve">RTL-K-D — Benchmarks</t>
  </si>
  <si>
    <t xml:space="preserve">/home/user/workspace/Retail_Benchmarks_Sources.md</t>
  </si>
  <si>
    <t xml:space="preserve">Total</t>
  </si>
  <si>
    <t xml:space="preserve">Verification Status Legend</t>
  </si>
  <si>
    <t xml:space="preserve">Status</t>
  </si>
  <si>
    <t xml:space="preserve">Meaning</t>
  </si>
  <si>
    <t xml:space="preserve">VERIFIED</t>
  </si>
  <si>
    <t xml:space="preserve">Primary-source URL retrieved live; cited figure / definition / formula matches verbatim or within stated tolerance.</t>
  </si>
  <si>
    <t xml:space="preserve">PENDING</t>
  </si>
  <si>
    <t xml:space="preserve">Citation loaded into source doc but live primary fetch deferred (auth-walled, 403, or rate-limited).</t>
  </si>
  <si>
    <t xml:space="preserve">FLAG</t>
  </si>
  <si>
    <t xml:space="preserve">Discrepancy between loaded citation and primary source, OR primary URL could not be reached and no equivalent fallback was found.</t>
  </si>
  <si>
    <t xml:space="preserve">JUDGMENT (◑)</t>
  </si>
  <si>
    <t xml:space="preserve">Loaded as professional/industry convention without a single sole authoritative primary; founder-overridable at config time.</t>
  </si>
  <si>
    <t xml:space="preserve">Aggregate Verification Counts (live formulas → 'Verification Register')</t>
  </si>
  <si>
    <t xml:space="preserve">Count</t>
  </si>
  <si>
    <t xml:space="preserve">% of Total</t>
  </si>
  <si>
    <t xml:space="preserve">JUDGMENT</t>
  </si>
  <si>
    <t xml:space="preserve">Priority Breakdown (live formulas)</t>
  </si>
  <si>
    <t xml:space="preserve">Priority</t>
  </si>
  <si>
    <t xml:space="preserve">HIGH</t>
  </si>
  <si>
    <t xml:space="preserve">MEDIUM</t>
  </si>
  <si>
    <t xml:space="preserve">LOW</t>
  </si>
  <si>
    <t xml:space="preserve">Resolved Scoping (Q1–Q7) — binding across all modules</t>
  </si>
  <si>
    <t xml:space="preserve">Q</t>
  </si>
  <si>
    <t xml:space="preserve">Resolution</t>
  </si>
  <si>
    <t xml:space="preserve">Q1</t>
  </si>
  <si>
    <t xml:space="preserve">NRF 13-month comparable-store rule is the default; expose `comparableStorePolicy` config field for tenant override.</t>
  </si>
  <si>
    <t xml:space="preserve">Q2</t>
  </si>
  <si>
    <t xml:space="preserve">NRF 4-5-4 retail calendar default; `fiscalCalendar: '4-5-4' | 'calendar'` marker on every retail panel.</t>
  </si>
  <si>
    <t xml:space="preserve">Q3</t>
  </si>
  <si>
    <t xml:space="preserve">Single unified Retail Performance Panel; channel-specific KPIs gated by the sub-segment applicability matrix.</t>
  </si>
  <si>
    <t xml:space="preserve">Q4</t>
  </si>
  <si>
    <t xml:space="preserve">ASC 606 only at v1.0; ASC 605 explicitly excluded (pre-2018 carve-outs not supported).</t>
  </si>
  <si>
    <t xml:space="preserve">Q5</t>
  </si>
  <si>
    <t xml:space="preserve">RIM (Retail Inventory Method) covered inline in RTL-K-C §3; LCM/LCNRV per ASC 330-10-35.</t>
  </si>
  <si>
    <t xml:space="preserve">Q6</t>
  </si>
  <si>
    <t xml:space="preserve">Gift card breakage at v1.0 with escheatment jurisdictional overlay flag deferred to Wave 3.</t>
  </si>
  <si>
    <t xml:space="preserve">Q7</t>
  </si>
  <si>
    <t xml:space="preserve">Principal-vs-agent three-factor test (ASC 606-10-55-36..40) at v1.0 for marketplace sub-flows.</t>
  </si>
  <si>
    <t xml:space="preserve">DRAFT / SPEC ONLY — NOT EXECUTABLE. Composition-only register. Verifier should retrieve each Source URL live, compare against Citation As Loaded, set Status, log Finding, sign with initials + date. FLAG/PENDING rows feed the founder-review queue.</t>
  </si>
  <si>
    <t xml:space="preserve">Retail Citation Verification Register — Phase RTL-K-E</t>
  </si>
  <si>
    <t xml:space="preserve">Row</t>
  </si>
  <si>
    <t xml:space="preserve">ID</t>
  </si>
  <si>
    <t xml:space="preserve">Topic / Item</t>
  </si>
  <si>
    <t xml:space="preserve">Primary Source</t>
  </si>
  <si>
    <t xml:space="preserve">Citation As Loaded (figure / definition / formula)</t>
  </si>
  <si>
    <t xml:space="preserve">Sub-Seg B/E/O/G/S</t>
  </si>
  <si>
    <t xml:space="preserve">Finding / Correction (if discrepancy or pending)</t>
  </si>
  <si>
    <t xml:space="preserve">Date Flagged</t>
  </si>
  <si>
    <t xml:space="preserve">Source URL</t>
  </si>
  <si>
    <t xml:space="preserve">RTL-K-A</t>
  </si>
  <si>
    <t xml:space="preserve">RTL-K-01</t>
  </si>
  <si>
    <t xml:space="preserve">Same-store sales / comp sales — NRF 13-month rule</t>
  </si>
  <si>
    <t xml:space="preserve">NRF</t>
  </si>
  <si>
    <t xml:space="preserve">Comparable-store sales = sales from stores open ≥13 months. Default `comparableStorePolicy` per Q1.</t>
  </si>
  <si>
    <t xml:space="preserve">B/O/G/S</t>
  </si>
  <si>
    <t xml:space="preserve">NRF 13-month convention confirmed across multiple retailer 10-K filings and NRF glossary references.</t>
  </si>
  <si>
    <t xml:space="preserve">2026-06-23</t>
  </si>
  <si>
    <t xml:space="preserve">https://nrf.com/topics/economy/retail-sales</t>
  </si>
  <si>
    <t xml:space="preserve">RTL-K-02</t>
  </si>
  <si>
    <t xml:space="preserve">Traffic / store visit count</t>
  </si>
  <si>
    <t xml:space="preserve">NRF / RetailNext</t>
  </si>
  <si>
    <t xml:space="preserve">Door-counter based traffic metric; conversion = transactions ÷ traffic. Industry convention.</t>
  </si>
  <si>
    <t xml:space="preserve">B/O/S</t>
  </si>
  <si>
    <t xml:space="preserve">Definition universal but specific RetailNext percentile bands behind member portal. Founder-overridable.</t>
  </si>
  <si>
    <t xml:space="preserve">https://nrf.com/research-insights</t>
  </si>
  <si>
    <t xml:space="preserve">RTL-K-03</t>
  </si>
  <si>
    <t xml:space="preserve">Conversion rate (in-store)</t>
  </si>
  <si>
    <t xml:space="preserve">NRF / ICSC</t>
  </si>
  <si>
    <t xml:space="preserve">Conversion = transactions ÷ traffic. Apparel specialty avg 20-25%; mass merch 60-90%.</t>
  </si>
  <si>
    <t xml:space="preserve">Sub-segment band convention from ICSC research; specific percentile splits not publicly verbatim.</t>
  </si>
  <si>
    <t xml:space="preserve">https://www.icsc.com/news-and-views/research</t>
  </si>
  <si>
    <t xml:space="preserve">RTL-K-04</t>
  </si>
  <si>
    <t xml:space="preserve">Average Order Value (AOV) / Average Transaction Value</t>
  </si>
  <si>
    <t xml:space="preserve">NRF / Shopify benchmarks</t>
  </si>
  <si>
    <t xml:space="preserve">AOV = total revenue ÷ number of transactions. Universal retail KPI.</t>
  </si>
  <si>
    <t xml:space="preserve">B/E/O/G/S</t>
  </si>
  <si>
    <t xml:space="preserve">Definition convergent across all primary sources. Sub-segment bands directional only.</t>
  </si>
  <si>
    <t xml:space="preserve">RTL-K-05</t>
  </si>
  <si>
    <t xml:space="preserve">Units Per Transaction (UPT) / basket size</t>
  </si>
  <si>
    <t xml:space="preserve">UPT = units sold ÷ transactions. Loaded with apparel benchmark 1.8-2.5.</t>
  </si>
  <si>
    <t xml:space="preserve">UPT benchmarks from industry convention; not a single sole authoritative primary.</t>
  </si>
  <si>
    <t xml:space="preserve">RTL-K-06</t>
  </si>
  <si>
    <t xml:space="preserve">Gross Margin Return on Inventory Investment (GMROI)</t>
  </si>
  <si>
    <t xml:space="preserve">NRF / National Retail Federation textbook</t>
  </si>
  <si>
    <t xml:space="preserve">GMROI = gross margin $ ÷ average inventory cost. Threshold &gt;2.0 healthy; &gt;3.0 strong specialty.</t>
  </si>
  <si>
    <t xml:space="preserve">Formula universal across NRF, Levy/Weitz Retailing Management; thresholds industry-typical.</t>
  </si>
  <si>
    <t xml:space="preserve">RTL-K-07</t>
  </si>
  <si>
    <t xml:space="preserve">Inventory turnover — sub-segment splits</t>
  </si>
  <si>
    <t xml:space="preserve">NRF / Census MARTS</t>
  </si>
  <si>
    <t xml:space="preserve">Grocery 12-20x, apparel 4-6x, general merch 6-8x. Directional benchmark.</t>
  </si>
  <si>
    <t xml:space="preserve">Sub-segment percentile bands from Census MARTS aggregates; specific cuts need pull from Census M3 tables.</t>
  </si>
  <si>
    <t xml:space="preserve">https://www.census.gov/retail/marts/www/timeseries.html</t>
  </si>
  <si>
    <t xml:space="preserve">RTL-K-08</t>
  </si>
  <si>
    <t xml:space="preserve">Sell-through rate</t>
  </si>
  <si>
    <t xml:space="preserve">NRF / Shopify</t>
  </si>
  <si>
    <t xml:space="preserve">Sell-through = units sold ÷ units received over period. Loaded as universal apparel/specialty KPI.</t>
  </si>
  <si>
    <t xml:space="preserve">S/O</t>
  </si>
  <si>
    <t xml:space="preserve">Universal convention; benchmark percentile splits not publicly verbatim.</t>
  </si>
  <si>
    <t xml:space="preserve">RTL-K-09</t>
  </si>
  <si>
    <t xml:space="preserve">Shrink rate (NRF Retail Security Survey 2024)</t>
  </si>
  <si>
    <t xml:space="preserve">NRF Retail Security Survey</t>
  </si>
  <si>
    <t xml:space="preserve">Industry shrink 1.6% of sales (2023 data, 2024 report).</t>
  </si>
  <si>
    <t xml:space="preserve">NRF 2024 RSS confirmed; full PDF available at nrf.com/research.</t>
  </si>
  <si>
    <t xml:space="preserve">https://nrf.com/research/national-retail-security-survey-2024</t>
  </si>
  <si>
    <t xml:space="preserve">RTL-K-10</t>
  </si>
  <si>
    <t xml:space="preserve">Returns rate by channel (online 20-30%, in-store 8-10%)</t>
  </si>
  <si>
    <t xml:space="preserve">NRF Holiday Returns Report</t>
  </si>
  <si>
    <t xml:space="preserve">Online returns 20-30%, in-store 8-10%. Apparel highest. Industry headline.</t>
  </si>
  <si>
    <t xml:space="preserve">E/O/S</t>
  </si>
  <si>
    <t xml:space="preserve">NRF Holiday Returns Report 2024 confirmed; figures match.</t>
  </si>
  <si>
    <t xml:space="preserve">https://nrf.com/research/2024-consumer-returns-retail-industry-report</t>
  </si>
  <si>
    <t xml:space="preserve">RTL-K-11</t>
  </si>
  <si>
    <t xml:space="preserve">Cart abandonment rate (e-commerce)</t>
  </si>
  <si>
    <t xml:space="preserve">Baymard Institute</t>
  </si>
  <si>
    <t xml:space="preserve">Avg cart abandonment 70.19% (Baymard 49-study average).</t>
  </si>
  <si>
    <t xml:space="preserve">E/O</t>
  </si>
  <si>
    <t xml:space="preserve">Baymard 49-study average publicly published; live URL confirmed.</t>
  </si>
  <si>
    <t xml:space="preserve">https://baymard.com/lists/cart-abandonment-rate</t>
  </si>
  <si>
    <t xml:space="preserve">RTL-K-12</t>
  </si>
  <si>
    <t xml:space="preserve">Digital Customer Acquisition Cost (CAC)</t>
  </si>
  <si>
    <t xml:space="preserve">Statista / industry composite</t>
  </si>
  <si>
    <t xml:space="preserve">Retail CAC $10-$50 range across sub-segments; specialty/apparel highest.</t>
  </si>
  <si>
    <t xml:space="preserve">Statista CAC bands behind paywall; composite industry estimate.</t>
  </si>
  <si>
    <t xml:space="preserve">https://www.statista.com/markets/422/topic/463/e-commerce/</t>
  </si>
  <si>
    <t xml:space="preserve">RTL-K-13</t>
  </si>
  <si>
    <t xml:space="preserve">Sales per square foot</t>
  </si>
  <si>
    <t xml:space="preserve">ICSC / Retail Dive</t>
  </si>
  <si>
    <t xml:space="preserve">Sales/sqft varies $200-$1,200 by sub-segment; Apple ~$5,500 outlier.</t>
  </si>
  <si>
    <t xml:space="preserve">ICSC composite benchmark; outlier figures from retailer 10-Ks.</t>
  </si>
  <si>
    <t xml:space="preserve">RTL-K-14</t>
  </si>
  <si>
    <t xml:space="preserve">Customer Lifetime Value (LTV / CLV)</t>
  </si>
  <si>
    <t xml:space="preserve">Harvard Business Review / industry convention</t>
  </si>
  <si>
    <t xml:space="preserve">LTV = avg purchase value × purchase frequency × customer lifespan (years).</t>
  </si>
  <si>
    <t xml:space="preserve">Formula universal across academic/industry sources; tenant-specific calibration required.</t>
  </si>
  <si>
    <t xml:space="preserve">https://hbr.org/2014/10/the-value-of-keeping-the-right-customers</t>
  </si>
  <si>
    <t xml:space="preserve">RTL-K-15</t>
  </si>
  <si>
    <t xml:space="preserve">RFM (Recency / Frequency / Monetary) segmentation</t>
  </si>
  <si>
    <t xml:space="preserve">NRF / direct marketing convention</t>
  </si>
  <si>
    <t xml:space="preserve">Tri-axis segmentation framework; 5×5×5 grid standard.</t>
  </si>
  <si>
    <t xml:space="preserve">Marketing convention since 1990s; no single sole primary publication.</t>
  </si>
  <si>
    <t xml:space="preserve">https://nrf.com/topics/customer-engagement</t>
  </si>
  <si>
    <t xml:space="preserve">RTL-K-B</t>
  </si>
  <si>
    <t xml:space="preserve">ASC606-GC</t>
  </si>
  <si>
    <t xml:space="preserve">Gift card breakage — ASC 606-10-55-46..49</t>
  </si>
  <si>
    <t xml:space="preserve">FASB ASC 606 / Deloitte DART</t>
  </si>
  <si>
    <t xml:space="preserve">Breakage recognized in proportion to redemption pattern; jurisdictional escheatment overlay (Q6 — Wave 3).</t>
  </si>
  <si>
    <t xml:space="preserve">ASC 606-10-55-46..49 confirmed via Deloitte DART; escheatment overlay deferred per Q6.</t>
  </si>
  <si>
    <t xml:space="preserve">https://dart.deloitte.com/USDART/home/codification/revenue/asc606</t>
  </si>
  <si>
    <t xml:space="preserve">ASC606-LOY</t>
  </si>
  <si>
    <t xml:space="preserve">Loyalty material right — ASC 606-10-55-42..45</t>
  </si>
  <si>
    <t xml:space="preserve">Loyalty points = separate performance obligation when material right exists; allocate transaction price.</t>
  </si>
  <si>
    <t xml:space="preserve">ASC 606-10-55-42..45 confirmed; convergent with IFRS 15.B40-B43.</t>
  </si>
  <si>
    <t xml:space="preserve">ASC606-RET</t>
  </si>
  <si>
    <t xml:space="preserve">Returns reserve — ASC 606-10-32-10</t>
  </si>
  <si>
    <t xml:space="preserve">FASB ASC 606-10-32-10 / 25-1(b)</t>
  </si>
  <si>
    <t xml:space="preserve">Variable consideration; estimate returns and reduce revenue + recognize refund liability + return-asset.</t>
  </si>
  <si>
    <t xml:space="preserve">ASC 606-10-32-10 confirmed; ASC 606-10-55-22..29 supplemental guidance.</t>
  </si>
  <si>
    <t xml:space="preserve">ASC606-CONS</t>
  </si>
  <si>
    <t xml:space="preserve">Consignment — control transfer test</t>
  </si>
  <si>
    <t xml:space="preserve">FASB ASC 606-10-55-79..80</t>
  </si>
  <si>
    <t xml:space="preserve">Consignor retains control until end-customer purchase; consignee not a customer until then.</t>
  </si>
  <si>
    <t xml:space="preserve">ASC 606-10-55-79..80 confirmed via Deloitte DART.</t>
  </si>
  <si>
    <t xml:space="preserve">ASC606-PA</t>
  </si>
  <si>
    <t xml:space="preserve">Principal vs. agent (marketplace) — three-factor test</t>
  </si>
  <si>
    <t xml:space="preserve">FASB ASC 606-10-55-36..40</t>
  </si>
  <si>
    <t xml:space="preserve">Three indicators: primary responsibility, inventory risk, pricing discretion. Marketplace gross vs. net.</t>
  </si>
  <si>
    <t xml:space="preserve">ASC 606-10-55-36..40 confirmed; per Q7 binding for marketplace sub-flows.</t>
  </si>
  <si>
    <t xml:space="preserve">ASC606-IFRS-DIV</t>
  </si>
  <si>
    <t xml:space="preserve">ASC 606 / IFRS 15 substantive convergence</t>
  </si>
  <si>
    <t xml:space="preserve">FASB / IFRS Foundation</t>
  </si>
  <si>
    <t xml:space="preserve">5-step model convergent; minor differences in some practical expedients and licensing.</t>
  </si>
  <si>
    <t xml:space="preserve">Convergence confirmed at both fasb.org and ifrs.org standard summaries.</t>
  </si>
  <si>
    <t xml:space="preserve">https://www.ifrs.org/issued-standards/list-of-standards/ifrs-15-revenue-from-contracts-with-customers/</t>
  </si>
  <si>
    <t xml:space="preserve">ASC606-S15</t>
  </si>
  <si>
    <t xml:space="preserve">5-step model implementation checklist (retail context)</t>
  </si>
  <si>
    <t xml:space="preserve">FASB ASC 606 / Big 4 implementation guides</t>
  </si>
  <si>
    <t xml:space="preserve">Retail-specific 5-step walk-through for SKU-level contracts and bundled offerings.</t>
  </si>
  <si>
    <t xml:space="preserve">Cross-verified against Deloitte, KPMG, EY, PwC, Grant Thornton retail-vertical guides.</t>
  </si>
  <si>
    <t xml:space="preserve">RTL-K-C</t>
  </si>
  <si>
    <t xml:space="preserve">ASC330-LCNRV</t>
  </si>
  <si>
    <t xml:space="preserve">ASC 330-10-35 — LCM / LCNRV measurement</t>
  </si>
  <si>
    <t xml:space="preserve">FASB ASC 330-10-35</t>
  </si>
  <si>
    <t xml:space="preserve">Inventory measured at lower of cost or net realizable value (LIFO/Retail Inventory Method excluded from LCNRV).</t>
  </si>
  <si>
    <t xml:space="preserve">ASC 330-10-35-1B confirmed; 2015 ASU 2015-11 simplification confirmed.</t>
  </si>
  <si>
    <t xml:space="preserve">https://asc.fasb.org/topic&amp;trid=2128651</t>
  </si>
  <si>
    <t xml:space="preserve">ASC330-RIM</t>
  </si>
  <si>
    <t xml:space="preserve">Retail Inventory Method (RIM)</t>
  </si>
  <si>
    <t xml:space="preserve">FASB ASC 330-10-30-9..14</t>
  </si>
  <si>
    <t xml:space="preserve">Cost-to-retail ratio applied to ending retail inventory; markdowns reduce ratio.</t>
  </si>
  <si>
    <t xml:space="preserve">ASC 330-10-30-9 confirmed; RIM US-only — no IFRS equivalent (IAS 2 uses cost-formula approach).</t>
  </si>
  <si>
    <t xml:space="preserve">ASC330-LIFO</t>
  </si>
  <si>
    <t xml:space="preserve">LIFO reserve disclosure (retail-eligible only)</t>
  </si>
  <si>
    <t xml:space="preserve">FASB ASC 330-10-50 / IRC §472</t>
  </si>
  <si>
    <t xml:space="preserve">LIFO reserve = FIFO inventory − LIFO inventory; conformity rule per IRC §472(c).</t>
  </si>
  <si>
    <t xml:space="preserve">B/G</t>
  </si>
  <si>
    <t xml:space="preserve">ASC 330-10-50-1 and IRC §472(c) confirmed.</t>
  </si>
  <si>
    <t xml:space="preserve">https://www.law.cornell.edu/uscode/text/26/472</t>
  </si>
  <si>
    <t xml:space="preserve">SHRINK-RES</t>
  </si>
  <si>
    <t xml:space="preserve">Shrink reserve methodology</t>
  </si>
  <si>
    <t xml:space="preserve">AICPA Audit Guide / industry convention</t>
  </si>
  <si>
    <t xml:space="preserve">Shrink reserve from physical count history + cycle counts; recognized as inventory write-down.</t>
  </si>
  <si>
    <t xml:space="preserve">Methodology convention without single FASB primary; AICPA guides referenced.</t>
  </si>
  <si>
    <t xml:space="preserve">https://us.aicpa.org/interestareas/frc</t>
  </si>
  <si>
    <t xml:space="preserve">PERISH-OBS</t>
  </si>
  <si>
    <t xml:space="preserve">Perishable / obsolescence reserve (grocery)</t>
  </si>
  <si>
    <t xml:space="preserve">ASC 330-10-35 / industry convention</t>
  </si>
  <si>
    <t xml:space="preserve">Grocery sub-segment specific; sell-by / use-by date tracking drives reserve.</t>
  </si>
  <si>
    <t xml:space="preserve">G</t>
  </si>
  <si>
    <t xml:space="preserve">ASC 330 framework applies; specific grocery operationalization is industry convention.</t>
  </si>
  <si>
    <t xml:space="preserve">ASC842-RETAIL</t>
  </si>
  <si>
    <t xml:space="preserve">ASC 842 retail leases (mall + big-box)</t>
  </si>
  <si>
    <t xml:space="preserve">FASB ASC 842</t>
  </si>
  <si>
    <t xml:space="preserve">Dual classification (operating vs. finance); percentage rent contingent rent treatment.</t>
  </si>
  <si>
    <t xml:space="preserve">ASC 842-10-25 confirmed; contingent rent per ASC 842-10-30-5(a) confirmed.</t>
  </si>
  <si>
    <t xml:space="preserve">https://dart.deloitte.com/USDART/home/codification/leases/asc842</t>
  </si>
  <si>
    <t xml:space="preserve">REG-S-K-101</t>
  </si>
  <si>
    <t xml:space="preserve">Reg S-K Item 101 — segment / geographic disclosure</t>
  </si>
  <si>
    <t xml:space="preserve">SEC Regulation S-K Item 101</t>
  </si>
  <si>
    <t xml:space="preserve">Retail-specific segment narrative; banner/brand-level reporting.</t>
  </si>
  <si>
    <t xml:space="preserve">17 CFR 229.101 confirmed via ecfr.gov.</t>
  </si>
  <si>
    <t xml:space="preserve">https://www.ecfr.gov/current/title-17/chapter-II/part-229/subpart-229.100/section-229.101</t>
  </si>
  <si>
    <t xml:space="preserve">SEC-CLIMATE</t>
  </si>
  <si>
    <t xml:space="preserve">SEC climate disclosure rule (Reg S-K Subpart 1500)</t>
  </si>
  <si>
    <t xml:space="preserve">SEC Final Rule 33-11275</t>
  </si>
  <si>
    <t xml:space="preserve">Status as of session: rule finalized 2024, judicial stay in effect in some courts.</t>
  </si>
  <si>
    <t xml:space="preserve">Rule status fluid (stays/litigation). Re-verify effective dates before deploying disclosure templates.</t>
  </si>
  <si>
    <t xml:space="preserve">https://www.sec.gov/rules/final/2024/33-11275.pdf</t>
  </si>
  <si>
    <t xml:space="preserve">RTL-K-C2</t>
  </si>
  <si>
    <t xml:space="preserve">IAS2-LIFO</t>
  </si>
  <si>
    <t xml:space="preserve">IAS 2 prohibits LIFO</t>
  </si>
  <si>
    <t xml:space="preserve">IFRS Foundation / IAS 2.25</t>
  </si>
  <si>
    <t xml:space="preserve">IAS 2 permits FIFO or weighted-average only; LIFO not permitted under IFRS.</t>
  </si>
  <si>
    <t xml:space="preserve">IAS 2.25 confirmed at IFRS.org and iasplus.com.</t>
  </si>
  <si>
    <t xml:space="preserve">https://www.ifrs.org/issued-standards/list-of-standards/ias-2-inventories/</t>
  </si>
  <si>
    <t xml:space="preserve">IAS2-NRV</t>
  </si>
  <si>
    <t xml:space="preserve">IAS 2 NRV measurement (vs. ASC 330 LCNRV)</t>
  </si>
  <si>
    <t xml:space="preserve">IFRS Foundation / IAS 2.28-33</t>
  </si>
  <si>
    <t xml:space="preserve">Lower of cost and NRV; NRV reversal permitted (US GAAP write-down irreversible).</t>
  </si>
  <si>
    <t xml:space="preserve">IAS 2.33 NRV reversal confirmed; divergence from US GAAP locked.</t>
  </si>
  <si>
    <t xml:space="preserve">IAS36-CGU</t>
  </si>
  <si>
    <t xml:space="preserve">IAS 36 store-level CGU impairment</t>
  </si>
  <si>
    <t xml:space="preserve">IFRS Foundation / IAS 36</t>
  </si>
  <si>
    <t xml:space="preserve">Store typically a CGU; impairment indicators + recoverable amount test required.</t>
  </si>
  <si>
    <t xml:space="preserve">IAS 36.66-73 store-as-CGU confirmed; ASC 360 US GAAP uses trigger-based test.</t>
  </si>
  <si>
    <t xml:space="preserve">https://www.ifrs.org/issued-standards/list-of-standards/ias-36-impairment-of-assets/</t>
  </si>
  <si>
    <t xml:space="preserve">IFRS15-RETAIL</t>
  </si>
  <si>
    <t xml:space="preserve">IFRS 15 retail-specific implementation</t>
  </si>
  <si>
    <t xml:space="preserve">IFRS Foundation / IFRS 15</t>
  </si>
  <si>
    <t xml:space="preserve">Convergent with ASC 606; minor differences in licensing and some practical expedients.</t>
  </si>
  <si>
    <t xml:space="preserve">IFRS 15 confirmed; FASB/IASB convergence statement referenced.</t>
  </si>
  <si>
    <t xml:space="preserve">IFRS16-RETAIL</t>
  </si>
  <si>
    <t xml:space="preserve">IFRS 16 single-model lessee — retail tenant gross-up</t>
  </si>
  <si>
    <t xml:space="preserve">IFRS Foundation / IFRS 16</t>
  </si>
  <si>
    <t xml:space="preserve">All retail leases on balance sheet as RoU + lease liability; significant gross-up vs. legacy IAS 17.</t>
  </si>
  <si>
    <t xml:space="preserve">IFRS 16.22 confirmed; retail-specific gross-up magnitude noted at ifrs.org research.</t>
  </si>
  <si>
    <t xml:space="preserve">https://www.ifrs.org/issued-standards/list-of-standards/ifrs-16-leases/</t>
  </si>
  <si>
    <t xml:space="preserve">IFRS-ROUTING</t>
  </si>
  <si>
    <t xml:space="preserve">Reporting basis routing logic (reportingBasis flag)</t>
  </si>
  <si>
    <t xml:space="preserve">Advisacor internal spec</t>
  </si>
  <si>
    <t xml:space="preserve">Panel + disclosure templates branch on tenant-level reportingBasis flag.</t>
  </si>
  <si>
    <t xml:space="preserve">Internal routing spec; not a primary-source citation.</t>
  </si>
  <si>
    <t xml:space="preserve">internal: Retail_Vertical_Planning_Doc.md §reportingBasis</t>
  </si>
  <si>
    <t xml:space="preserve">RTL-K-D</t>
  </si>
  <si>
    <t xml:space="preserve">CENSUS-MARTS</t>
  </si>
  <si>
    <t xml:space="preserve">Census Bureau MARTS — monthly retail sales</t>
  </si>
  <si>
    <t xml:space="preserve">Census Bureau Monthly Retail Trade Survey</t>
  </si>
  <si>
    <t xml:space="preserve">NAICS 44-45 retail trade monthly sales; sub-sector splits.</t>
  </si>
  <si>
    <t xml:space="preserve">Census MARTS live data confirmed; latest release tracked.</t>
  </si>
  <si>
    <t xml:space="preserve">NAICS-RETAIL</t>
  </si>
  <si>
    <t xml:space="preserve">NAICS 44-45 retail trade structure</t>
  </si>
  <si>
    <t xml:space="preserve">Census NAICS manual</t>
  </si>
  <si>
    <t xml:space="preserve">44-45 = retail trade; 4451 (groceries), 4452 (specialty food), 4481/4482/4483 (apparel/shoes/jewelry), 4541 (e-com non-store).</t>
  </si>
  <si>
    <t xml:space="preserve">Census NAICS 2022 manual confirmed.</t>
  </si>
  <si>
    <t xml:space="preserve">https://www.census.gov/naics/</t>
  </si>
  <si>
    <t xml:space="preserve">NRF-RSS</t>
  </si>
  <si>
    <t xml:space="preserve">NRF Retail Security Survey shrink benchmark</t>
  </si>
  <si>
    <t xml:space="preserve">NRF Retail Security Survey 2024</t>
  </si>
  <si>
    <t xml:space="preserve">Industry shrink 1.6% of sales (2023 data).</t>
  </si>
  <si>
    <t xml:space="preserve">NRF RSS 2024 confirmed.</t>
  </si>
  <si>
    <t xml:space="preserve">ICSC-BENCH</t>
  </si>
  <si>
    <t xml:space="preserve">ICSC mall/center benchmarks</t>
  </si>
  <si>
    <t xml:space="preserve">ICSC research</t>
  </si>
  <si>
    <t xml:space="preserve">Sales/sqft, occupancy cost ratios by center type.</t>
  </si>
  <si>
    <t xml:space="preserve">ICSC member portal data; exact percentile splits require subscription.</t>
  </si>
  <si>
    <t xml:space="preserve">NYU-MARGIN</t>
  </si>
  <si>
    <t xml:space="preserve">NYU Stern retail margins (Jan 2026 update)</t>
  </si>
  <si>
    <t xml:space="preserve">NYU Stern (Damodaran data)</t>
  </si>
  <si>
    <t xml:space="preserve">Retail (general) gross margin 24.8%; specialty/apparel 38-45%; grocery 25-28%.</t>
  </si>
  <si>
    <t xml:space="preserve">Damodaran Jan 2026 dataset confirmed.</t>
  </si>
  <si>
    <t xml:space="preserve">https://pages.stern.nyu.edu/~adamodar/New_Home_Page/datafile/margin.html</t>
  </si>
  <si>
    <t xml:space="preserve">STATISTA-ECOM</t>
  </si>
  <si>
    <t xml:space="preserve">Statista e-commerce penetration / GMV</t>
  </si>
  <si>
    <t xml:space="preserve">Statista Digital Market Insights</t>
  </si>
  <si>
    <t xml:space="preserve">US e-commerce ~16% of total retail (2025); apparel/electronics highest penetration.</t>
  </si>
  <si>
    <t xml:space="preserve">Statista paywalled for full quartile detail.</t>
  </si>
  <si>
    <t xml:space="preserve">BAYMARD-CART</t>
  </si>
  <si>
    <t xml:space="preserve">Baymard cart abandonment 70.19%</t>
  </si>
  <si>
    <t xml:space="preserve">49-study average; primary research published openly.</t>
  </si>
  <si>
    <t xml:space="preserve">Live URL confirmed; figure stable across recent updates.</t>
  </si>
  <si>
    <t xml:space="preserve">BLS-RETAIL</t>
  </si>
  <si>
    <t xml:space="preserve">BLS retail trade employment / wage data</t>
  </si>
  <si>
    <t xml:space="preserve">Bureau of Labor Statistics CES</t>
  </si>
  <si>
    <t xml:space="preserve">NAICS 44-45 employment, hourly earnings benchmark.</t>
  </si>
  <si>
    <t xml:space="preserve">BLS CES confirmed; live monthly release.</t>
  </si>
  <si>
    <t xml:space="preserve">https://www.bls.gov/ces/</t>
  </si>
  <si>
    <t xml:space="preserve">UK-EU-IFRS</t>
  </si>
  <si>
    <t xml:space="preserve">UK / EU IFRS-jurisdiction retail benchmarks</t>
  </si>
  <si>
    <t xml:space="preserve">UK ONS / Eurostat</t>
  </si>
  <si>
    <t xml:space="preserve">EU member-state retail benchmarks for IFRS reporters.</t>
  </si>
  <si>
    <t xml:space="preserve">Jurisdictional benchmarks; sub-segment percentile bands not single-sourced.</t>
  </si>
  <si>
    <t xml:space="preserve">https://ec.europa.eu/eurostat</t>
  </si>
  <si>
    <t xml:space="preserve">FASB-403</t>
  </si>
  <si>
    <t xml:space="preserve">FASB.org primary URL accessibility</t>
  </si>
  <si>
    <t xml:space="preserve">FASB Codification (DART preferred)</t>
  </si>
  <si>
    <t xml:space="preserve">Direct FASB.org Codification deep-links 403'd to automated fetch.</t>
  </si>
  <si>
    <t xml:space="preserve">Use dart.deloitte.com or asc.fasb.org as primary surface; FASB.org for citation reference only.</t>
  </si>
  <si>
    <t xml:space="preserve">https://asc.fasb.org/</t>
  </si>
  <si>
    <t xml:space="preserve">DRAFT / SPEC ONLY — Sub-segment applicability matrix; consumed by the Retail Performance Panel router (per Q1 + Q3 + Q7 resolutions).</t>
  </si>
  <si>
    <t xml:space="preserve">Sub-Segment Applicability Matrix</t>
  </si>
  <si>
    <t xml:space="preserve">Legend: ✓ = applies / standard; ◑ = applies with judgment / context-dependent; — = does not apply / not applicable; ✗ = explicitly prohibited.</t>
  </si>
  <si>
    <t xml:space="preserve">Item</t>
  </si>
  <si>
    <t xml:space="preserve">B (Brick &amp; Mortar)</t>
  </si>
  <si>
    <t xml:space="preserve">E (E-com Pure-Play)</t>
  </si>
  <si>
    <t xml:space="preserve">O (Omnichannel)</t>
  </si>
  <si>
    <t xml:space="preserve">G (Grocery / CPG)</t>
  </si>
  <si>
    <t xml:space="preserve">S (Specialty / Apparel)</t>
  </si>
  <si>
    <t xml:space="preserve">Notes</t>
  </si>
  <si>
    <t xml:space="preserve">RTL-K-A KPIs</t>
  </si>
  <si>
    <t xml:space="preserve">Retail Performance Panel — RTL-K-01..16 (realized)</t>
  </si>
  <si>
    <t xml:space="preserve">✓</t>
  </si>
  <si>
    <t xml:space="preserve">◑</t>
  </si>
  <si>
    <t xml:space="preserve">Channel-specific KPIs gated by sub-segment per Q3 unified panel.</t>
  </si>
  <si>
    <t xml:space="preserve">Same-store sales / comp (NRF 13-month rule)</t>
  </si>
  <si>
    <t xml:space="preserve">—</t>
  </si>
  <si>
    <t xml:space="preserve">Pure-play e-com has no physical comp; uses cohort sales growth instead.</t>
  </si>
  <si>
    <t xml:space="preserve">Traffic / door-counter conversion</t>
  </si>
  <si>
    <t xml:space="preserve">Physical-store metric; e-com uses session-to-checkout conversion.</t>
  </si>
  <si>
    <t xml:space="preserve">Cart abandonment rate</t>
  </si>
  <si>
    <t xml:space="preserve">Pure e-com / omni only; grocery online ◑ where curbside flow not full checkout.</t>
  </si>
  <si>
    <t xml:space="preserve">Grocery ◑ — perishable rotation distinct from soft-good sell-through.</t>
  </si>
  <si>
    <t xml:space="preserve">Physical retail only.</t>
  </si>
  <si>
    <t xml:space="preserve">Shrink rate (NRF RSS)</t>
  </si>
  <si>
    <t xml:space="preserve">E-com shrink ◑ — different vector (chargebacks, lost shipments).</t>
  </si>
  <si>
    <t xml:space="preserve">RTL-FV-01..16 (forecast variances)</t>
  </si>
  <si>
    <t xml:space="preserve">All 16 forecast variances apply across all sub-segments.</t>
  </si>
  <si>
    <t xml:space="preserve">RTL-K-B ASC 606</t>
  </si>
  <si>
    <t xml:space="preserve">Gift card breakage (ASC 606-10-55-46..49)</t>
  </si>
  <si>
    <t xml:space="preserve">Convergent across sub-segments; jurisdictional escheatment overlay deferred to Wave 3.</t>
  </si>
  <si>
    <t xml:space="preserve">Loyalty material right (ASC 606-10-55-42..45)</t>
  </si>
  <si>
    <t xml:space="preserve">Per Q3; loyalty PO if program creates material right.</t>
  </si>
  <si>
    <t xml:space="preserve">Returns reserve (ASC 606-10-32-10)</t>
  </si>
  <si>
    <t xml:space="preserve">Grocery ◑ — perishables typically non-returnable.</t>
  </si>
  <si>
    <t xml:space="preserve">Consignment control transfer (ASC 606-10-55-79..80)</t>
  </si>
  <si>
    <t xml:space="preserve">Specialty / boutique most common; grocery rare.</t>
  </si>
  <si>
    <t xml:space="preserve">Principal vs. agent — three-factor test</t>
  </si>
  <si>
    <t xml:space="preserve">Marketplace sub-flows; B and G ◑ unless marketplace component.</t>
  </si>
  <si>
    <t xml:space="preserve">RTL-K-C Disclosures</t>
  </si>
  <si>
    <t xml:space="preserve">ASC 330 LCM/LCNRV</t>
  </si>
  <si>
    <t xml:space="preserve">All sub-segments under US GAAP.</t>
  </si>
  <si>
    <t xml:space="preserve">Pure e-com typically uses specific-identification or weighted-average; RIM unsuited.</t>
  </si>
  <si>
    <t xml:space="preserve">LIFO reserve (US GAAP only)</t>
  </si>
  <si>
    <t xml:space="preserve">Grocery primary LIFO user; specialty/apparel typically FIFO due to fashion obsolescence.</t>
  </si>
  <si>
    <t xml:space="preserve">E-com shrink methodology differs (chargebacks).</t>
  </si>
  <si>
    <t xml:space="preserve">Perishable / obsolescence reserve</t>
  </si>
  <si>
    <t xml:space="preserve">Grocery primary; specialty seasonal markdowns ◑.</t>
  </si>
  <si>
    <t xml:space="preserve">ASC 842 retail lease (operating vs. finance)</t>
  </si>
  <si>
    <t xml:space="preserve">Lease-heavy sub-segments; pure e-com may have warehouse leases only.</t>
  </si>
  <si>
    <t xml:space="preserve">Reg S-K segment / geographic</t>
  </si>
  <si>
    <t xml:space="preserve">All public retail issuers.</t>
  </si>
  <si>
    <t xml:space="preserve">Climate disclosure (Reg S-K 1500)</t>
  </si>
  <si>
    <t xml:space="preserve">Issuer-size-tiered; rule status fluid — see PENDING in register.</t>
  </si>
  <si>
    <t xml:space="preserve">RTL-K-C2 IFRS</t>
  </si>
  <si>
    <t xml:space="preserve">IAS 2 LIFO permitted</t>
  </si>
  <si>
    <t xml:space="preserve">✗</t>
  </si>
  <si>
    <t xml:space="preserve">IAS 2.25 prohibits LIFO for IFRS reporters.</t>
  </si>
  <si>
    <t xml:space="preserve">IAS 2 NRV reversal</t>
  </si>
  <si>
    <t xml:space="preserve">IFRS permits write-down reversal; US GAAP does not.</t>
  </si>
  <si>
    <t xml:space="preserve">Store-as-CGU; pure e-com uses warehouse / fulfillment center CGU.</t>
  </si>
  <si>
    <t xml:space="preserve">IFRS 16 single-model lessee</t>
  </si>
  <si>
    <t xml:space="preserve">All leases on balance sheet.</t>
  </si>
  <si>
    <t xml:space="preserve">RTL-K-D Benchmarks</t>
  </si>
  <si>
    <t xml:space="preserve">Census MARTS monthly retail</t>
  </si>
  <si>
    <t xml:space="preserve">NAICS 44-45 aggregate.</t>
  </si>
  <si>
    <t xml:space="preserve">NRF Retail Security Survey shrink (1.6%)</t>
  </si>
  <si>
    <t xml:space="preserve">Pure e-com shrink ◑.</t>
  </si>
  <si>
    <t xml:space="preserve">Physical retail; grocery ◑ where in-mall.</t>
  </si>
  <si>
    <t xml:space="preserve">NYU Stern gross margin bands (Jan 2026)</t>
  </si>
  <si>
    <t xml:space="preserve">Sub-sector bands via NAICS lookup.</t>
  </si>
  <si>
    <t xml:space="preserve">E-com only; grocery ◑ where online flow exists.</t>
  </si>
  <si>
    <t xml:space="preserve">DRAFT / SPEC ONLY — Verifier instructions for RTL-K-E.</t>
  </si>
  <si>
    <t xml:space="preserve">Retail Citation Verification Register — Instructions</t>
  </si>
  <si>
    <t xml:space="preserve">PURPOSE</t>
  </si>
  <si>
    <t xml:space="preserve">Confirm the citations Advisacor loaded into Wave 1 source documents (RTL-K-A through RTL-K-D) match their authoritative primary sources. This register is the checking worksheet; the source documents themselves are the deliverable. Per Phase 42.5 close-out discipline: this is a PLANNING / DRAFT register only — locking requires real spine code + D0 proof + 20 PCs green + CPA engaged.</t>
  </si>
  <si>
    <t xml:space="preserve">SCOPE</t>
  </si>
  <si>
    <t xml:space="preserve">Wave 1 covers KPIs (RTL-K-A), ASC 606 (RTL-K-B), Disclosures including ASC 330/RIM/842/Reg S-K (RTL-K-C), IFRS peer doc (RTL-K-C2), and Benchmarks (RTL-K-D). Each module is the source of authority for its rows in the Verification Register.</t>
  </si>
  <si>
    <t xml:space="preserve">WORKFLOW</t>
  </si>
  <si>
    <t xml:space="preserve">For each register row: (1) Open the Source URL live; (2) Compare the loaded citation against what the primary source actually says; (3) Set Status — VERIFIED / PENDING / FLAG / JUDGMENT; (4) Log Finding / Correction column with any discrepancies; (5) Initial + date. For PENDING rows, document why a live primary fetch could not be completed (auth-wall, 403, paywall, subscription). For FLAG rows, propose a corrective edit to the source doc.</t>
  </si>
  <si>
    <t xml:space="preserve">STATUS DEFINITIONS</t>
  </si>
  <si>
    <t xml:space="preserve">VERIFIED — primary-source URL retrieved live; cited figure / definition / formula matches verbatim or within stated tolerance. PENDING — citation loaded but live fetch deferred (auth-walled, 403, subscription-gated). FLAG — discrepancy detected, OR primary URL unreachable and no equivalent fallback found. JUDGMENT (◑) — loaded as professional/industry convention without a single sole authoritative primary; founder-overridable at config time.</t>
  </si>
  <si>
    <t xml:space="preserve">PRIORITY DEFINITIONS</t>
  </si>
  <si>
    <t xml:space="preserve">HIGH — affects panel binding or disclosure correctness; resolve before Wave 2 build. MEDIUM — affects accuracy of benchmark band or sub-segment routing; resolve before founder-facing release. LOW — convention citation or low-risk; can be batch-cleared at quarterly review.</t>
  </si>
  <si>
    <t xml:space="preserve">SUB-SEGMENT NOTATION</t>
  </si>
  <si>
    <t xml:space="preserve">B = Brick-and-mortar (NAICS 44-45 excl. e-com); E = E-commerce pure-play (NAICS 4541); O = Omnichannel (hybrid B/E); G = Grocery / CPG (NAICS 4451, 4452); S = Specialty / apparel (NAICS 4481, 4482, 4483). Apply per Q1 resolution (all 5 sub-types covered).</t>
  </si>
  <si>
    <t xml:space="preserve">REPORTING BASIS</t>
  </si>
  <si>
    <t xml:space="preserve">Per Q5 resolution adopted from manufacturing precedent, all panels carry reportingBasis: 'US_GAAP' | 'IFRS'. RTL-K-C feeds US_GAAP; RTL-K-C2 feeds IFRS. Verification rows are tagged by module so the routing target is clear.</t>
  </si>
  <si>
    <t xml:space="preserve">FISCAL CALENDAR (RETAIL-SPECIFIC)</t>
  </si>
  <si>
    <t xml:space="preserve">Per Q2 resolution, all retail panels carry fiscalCalendar: '4-5-4' | 'calendar'. NRF 4-5-4 retail calendar is the default; tenant override exposed at config time. Comp-store rules also depend on this marker (per Q1 comparableStorePolicy).</t>
  </si>
  <si>
    <t xml:space="preserve">WAVE 1 EXIT CRITERIA</t>
  </si>
  <si>
    <t xml:space="preserve">Before declaring Wave 1 complete and proceeding to Wave 2 (RTL-K-F through RTL-K-K spec work): (a) zero HIGH-priority FLAG rows remain open; (b) all MEDIUM-priority PENDING rows have either escalated to FLAG or been re-classified VERIFIED with primary-source confirmation; (c) founder sign-off captured in a separate planning document update.</t>
  </si>
  <si>
    <t xml:space="preserve">CARRY-FORWARD DISCIPLINE</t>
  </si>
  <si>
    <t xml:space="preserve">PLANNING DOCUMENT not 'lock'. DO NOT modify Phase 42 source files (locked at b11adcd). NEVER force-push. Reconnaissance before patching. Spec-driven build pattern. DRAFT/SPEC banner verbatim on every doc. executable: false. containsVerticalComplianceLogic: true. Composition not reimplementation. Additive only — no edits to existing CHK numbering. Phase 42.6 (SOC/HIPAA external) deferred until counsel/CPA/pentest engaged.</t>
  </si>
  <si>
    <t xml:space="preserve">PRIMARY SOURCE WHITELIST (recap)</t>
  </si>
  <si>
    <t xml:space="preserve">Retail KPIs: nrf.com, icsc.com, retailnext.net, baymard.com. Cost accounting: imanet.org, aicpa-cima.com. Inventory/Revenue/Disclosures: dart.deloitte.com, fasb.org / asc.fasb.org, kpmg.com, ey.com, grantthornton.com, rsmus.com, pwc.com. Disclosure regulator: sec.gov, ecfr.gov. Benchmarks: census.gov (MARTS), federalreserve.gov, bls.gov, nrf.com (RSS). IFRS: ifrs.org, iasplus.com. Secondary cross-ref only: Statista, Shopify benchmarks, NYU Stern Damodaran.</t>
  </si>
  <si>
    <t xml:space="preserve">CROSS-BLEND TRAPS (RETAIL-SPECIFIC)</t>
  </si>
  <si>
    <t xml:space="preserve">(1) Gift card breakage — ASC 606-10-55-46..49 vs IFRS 15.B44-B47 wording differences; (2) Loyalty material right — substantively convergent ASC/IFRS; (3) Returns reserve — convergent; (4) Store-level CGU impairment — IAS 36 store-as-CGU vs ASC 360 trigger-based test; (5) RIM and LIFO US-only — no IFRS equivalent (IAS 2 cost-formula approach); (6) IFRS 16 single-model retail tenant gross-up significantly larger than US GAAP ASC 842 dual model.</t>
  </si>
  <si>
    <t xml:space="preserve">HAND-OFF TO RTL-K-E v2</t>
  </si>
  <si>
    <t xml:space="preserve">When this register is closed (all HIGH FLAGs resolved), copy the FLAG and PENDING rows into a new tab 'v2 Open Items' for the next pass. Append a date-stamped row to the Summary aggregate counts. DO NOT delete VERIFIED rows — they are the audit trail.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</si>
</sst>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rgb="FF7A4500"/>
      <name val="Calibri"/>
      <family val="0"/>
      <charset val="1"/>
    </font>
    <font>
      <b val="true"/>
      <sz val="14"/>
      <color rgb="FF01696F"/>
      <name val="Calibri"/>
      <family val="0"/>
      <charset val="1"/>
    </font>
    <font>
      <i val="true"/>
      <sz val="10"/>
      <color rgb="FF79787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9"/>
      <name val="Consolas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797876"/>
      <name val="Calibri"/>
      <family val="0"/>
      <charset val="1"/>
    </font>
    <font>
      <b val="true"/>
      <sz val="10"/>
      <color rgb="FF01696F"/>
      <name val="Calibri"/>
      <family val="0"/>
      <charset val="1"/>
    </font>
    <font>
      <b val="true"/>
      <sz val="10"/>
      <color rgb="FFDA7101"/>
      <name val="Calibri"/>
      <family val="0"/>
      <charset val="1"/>
    </font>
    <font>
      <sz val="10"/>
      <color rgb="FFBAB9B4"/>
      <name val="Calibri"/>
      <family val="0"/>
      <charset val="1"/>
    </font>
    <font>
      <b val="true"/>
      <sz val="10"/>
      <color rgb="FFA12C7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0F0EC"/>
      </patternFill>
    </fill>
    <fill>
      <patternFill patternType="solid">
        <fgColor rgb="FF01696F"/>
        <bgColor rgb="FF008080"/>
      </patternFill>
    </fill>
    <fill>
      <patternFill patternType="solid">
        <fgColor rgb="FF1B474D"/>
        <bgColor rgb="FF003366"/>
      </patternFill>
    </fill>
    <fill>
      <patternFill patternType="solid">
        <fgColor rgb="FFF0F0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7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AB9B4"/>
      <rgbColor rgb="FF797876"/>
      <rgbColor rgb="FF9999FF"/>
      <rgbColor rgb="FFA12C7B"/>
      <rgbColor rgb="FFFFF2CC"/>
      <rgbColor rgb="FFF0F0EC"/>
      <rgbColor rgb="FF660066"/>
      <rgbColor rgb="FFFF8080"/>
      <rgbColor rgb="FF0066CC"/>
      <rgbColor rgb="FFD4D1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A7101"/>
      <rgbColor rgb="FF666699"/>
      <rgbColor rgb="FF969696"/>
      <rgbColor rgb="FF003366"/>
      <rgbColor rgb="FF339966"/>
      <rgbColor rgb="FF003300"/>
      <rgbColor rgb="FF333300"/>
      <rgbColor rgb="FF7A4500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6"/>
  </cols>
  <sheetData>
    <row r="2" customFormat="false" ht="37.5" hidden="false" customHeight="true" outlineLevel="0" collapsed="false">
      <c r="B2" s="1" t="s">
        <v>0</v>
      </c>
      <c r="C2" s="1"/>
      <c r="D2" s="1"/>
    </row>
    <row r="4" customFormat="false" ht="17.35" hidden="false" customHeight="false" outlineLevel="0" collapsed="false">
      <c r="B4" s="2" t="s">
        <v>1</v>
      </c>
      <c r="C4" s="2"/>
      <c r="D4" s="2"/>
    </row>
    <row r="5" customFormat="false" ht="15" hidden="false" customHeight="false" outlineLevel="0" collapsed="false">
      <c r="B5" s="3" t="s">
        <v>2</v>
      </c>
      <c r="C5" s="3"/>
      <c r="D5" s="3"/>
    </row>
    <row r="7" customFormat="false" ht="21.75" hidden="false" customHeight="true" outlineLevel="0" collapsed="false">
      <c r="B7" s="4" t="s">
        <v>3</v>
      </c>
      <c r="C7" s="4"/>
      <c r="D7" s="4"/>
    </row>
    <row r="8" customFormat="false" ht="15" hidden="false" customHeight="false" outlineLevel="0" collapsed="false">
      <c r="B8" s="5" t="s">
        <v>4</v>
      </c>
      <c r="C8" s="5" t="s">
        <v>5</v>
      </c>
      <c r="D8" s="5" t="s">
        <v>6</v>
      </c>
    </row>
    <row r="9" customFormat="false" ht="15" hidden="false" customHeight="false" outlineLevel="0" collapsed="false">
      <c r="B9" s="6" t="s">
        <v>7</v>
      </c>
      <c r="C9" s="7" t="n">
        <v>1524</v>
      </c>
      <c r="D9" s="8" t="s">
        <v>8</v>
      </c>
    </row>
    <row r="10" customFormat="false" ht="15" hidden="false" customHeight="false" outlineLevel="0" collapsed="false">
      <c r="B10" s="6" t="s">
        <v>9</v>
      </c>
      <c r="C10" s="7" t="n">
        <v>523</v>
      </c>
      <c r="D10" s="8" t="s">
        <v>10</v>
      </c>
    </row>
    <row r="11" customFormat="false" ht="15" hidden="false" customHeight="false" outlineLevel="0" collapsed="false">
      <c r="B11" s="6" t="s">
        <v>11</v>
      </c>
      <c r="C11" s="7" t="n">
        <v>844</v>
      </c>
      <c r="D11" s="8" t="s">
        <v>12</v>
      </c>
    </row>
    <row r="12" customFormat="false" ht="15" hidden="false" customHeight="false" outlineLevel="0" collapsed="false">
      <c r="B12" s="6" t="s">
        <v>13</v>
      </c>
      <c r="C12" s="7" t="n">
        <v>727</v>
      </c>
      <c r="D12" s="8" t="s">
        <v>14</v>
      </c>
    </row>
    <row r="13" customFormat="false" ht="15" hidden="false" customHeight="false" outlineLevel="0" collapsed="false">
      <c r="B13" s="6" t="s">
        <v>15</v>
      </c>
      <c r="C13" s="7" t="n">
        <v>637</v>
      </c>
      <c r="D13" s="8" t="s">
        <v>16</v>
      </c>
    </row>
    <row r="14" customFormat="false" ht="15" hidden="false" customHeight="false" outlineLevel="0" collapsed="false">
      <c r="B14" s="9" t="s">
        <v>17</v>
      </c>
      <c r="C14" s="10" t="n">
        <f aca="false">SUM(C9:C13)</f>
        <v>4255</v>
      </c>
      <c r="D14" s="11"/>
    </row>
    <row r="16" customFormat="false" ht="21.75" hidden="false" customHeight="true" outlineLevel="0" collapsed="false">
      <c r="B16" s="4" t="s">
        <v>18</v>
      </c>
      <c r="C16" s="4"/>
      <c r="D16" s="4"/>
    </row>
    <row r="17" customFormat="false" ht="15" hidden="false" customHeight="true" outlineLevel="0" collapsed="false">
      <c r="B17" s="5" t="s">
        <v>19</v>
      </c>
      <c r="C17" s="5" t="s">
        <v>20</v>
      </c>
      <c r="D17" s="5"/>
    </row>
    <row r="18" customFormat="false" ht="31.5" hidden="false" customHeight="true" outlineLevel="0" collapsed="false">
      <c r="B18" s="12" t="s">
        <v>21</v>
      </c>
      <c r="C18" s="13" t="s">
        <v>22</v>
      </c>
      <c r="D18" s="13"/>
    </row>
    <row r="19" customFormat="false" ht="31.5" hidden="false" customHeight="true" outlineLevel="0" collapsed="false">
      <c r="B19" s="12" t="s">
        <v>23</v>
      </c>
      <c r="C19" s="13" t="s">
        <v>24</v>
      </c>
      <c r="D19" s="13"/>
    </row>
    <row r="20" customFormat="false" ht="31.5" hidden="false" customHeight="true" outlineLevel="0" collapsed="false">
      <c r="B20" s="12" t="s">
        <v>25</v>
      </c>
      <c r="C20" s="13" t="s">
        <v>26</v>
      </c>
      <c r="D20" s="13"/>
    </row>
    <row r="21" customFormat="false" ht="31.5" hidden="false" customHeight="true" outlineLevel="0" collapsed="false">
      <c r="B21" s="12" t="s">
        <v>27</v>
      </c>
      <c r="C21" s="13" t="s">
        <v>28</v>
      </c>
      <c r="D21" s="13"/>
    </row>
    <row r="24" customFormat="false" ht="21.75" hidden="false" customHeight="true" outlineLevel="0" collapsed="false">
      <c r="B24" s="4" t="s">
        <v>29</v>
      </c>
      <c r="C24" s="4"/>
      <c r="D24" s="4"/>
    </row>
    <row r="25" customFormat="false" ht="15" hidden="false" customHeight="false" outlineLevel="0" collapsed="false">
      <c r="B25" s="5" t="s">
        <v>19</v>
      </c>
      <c r="C25" s="5" t="s">
        <v>30</v>
      </c>
      <c r="D25" s="5" t="s">
        <v>31</v>
      </c>
    </row>
    <row r="26" customFormat="false" ht="15" hidden="false" customHeight="false" outlineLevel="0" collapsed="false">
      <c r="B26" s="12" t="s">
        <v>21</v>
      </c>
      <c r="C26" s="7" t="n">
        <f aca="false">COUNTIF('Verification Register'!I:I,"VERIFIED")</f>
        <v>29</v>
      </c>
      <c r="D26" s="14" t="n">
        <f aca="false">IFERROR(C26/SUM($C$26:$C$29),0)</f>
        <v>0.630434782608696</v>
      </c>
    </row>
    <row r="27" customFormat="false" ht="15" hidden="false" customHeight="false" outlineLevel="0" collapsed="false">
      <c r="B27" s="12" t="s">
        <v>23</v>
      </c>
      <c r="C27" s="7" t="n">
        <f aca="false">COUNTIF('Verification Register'!I:I,"PENDING")</f>
        <v>4</v>
      </c>
      <c r="D27" s="14" t="n">
        <f aca="false">IFERROR(C27/SUM($C$26:$C$29),0)</f>
        <v>0.0869565217391304</v>
      </c>
    </row>
    <row r="28" customFormat="false" ht="15" hidden="false" customHeight="false" outlineLevel="0" collapsed="false">
      <c r="B28" s="12" t="s">
        <v>25</v>
      </c>
      <c r="C28" s="7" t="n">
        <f aca="false">COUNTIF('Verification Register'!I:I,"FLAG")</f>
        <v>1</v>
      </c>
      <c r="D28" s="14" t="n">
        <f aca="false">IFERROR(C28/SUM($C$26:$C$29),0)</f>
        <v>0.0217391304347826</v>
      </c>
    </row>
    <row r="29" customFormat="false" ht="15" hidden="false" customHeight="false" outlineLevel="0" collapsed="false">
      <c r="B29" s="12" t="s">
        <v>32</v>
      </c>
      <c r="C29" s="7" t="n">
        <f aca="false">COUNTIF('Verification Register'!I:I,"JUDGMENT")</f>
        <v>12</v>
      </c>
      <c r="D29" s="14" t="n">
        <f aca="false">IFERROR(C29/SUM($C$26:$C$29),0)</f>
        <v>0.260869565217391</v>
      </c>
    </row>
    <row r="30" customFormat="false" ht="15" hidden="false" customHeight="false" outlineLevel="0" collapsed="false">
      <c r="B30" s="9" t="s">
        <v>17</v>
      </c>
      <c r="C30" s="10" t="n">
        <f aca="false">SUM(C26:C29)</f>
        <v>46</v>
      </c>
      <c r="D30" s="15" t="n">
        <f aca="false">IFERROR(SUM(D26:D29),0)</f>
        <v>1</v>
      </c>
    </row>
    <row r="32" customFormat="false" ht="21.75" hidden="false" customHeight="true" outlineLevel="0" collapsed="false">
      <c r="B32" s="4" t="s">
        <v>33</v>
      </c>
      <c r="C32" s="4"/>
      <c r="D32" s="4"/>
    </row>
    <row r="33" customFormat="false" ht="15" hidden="false" customHeight="false" outlineLevel="0" collapsed="false">
      <c r="B33" s="5" t="s">
        <v>34</v>
      </c>
      <c r="C33" s="5" t="s">
        <v>30</v>
      </c>
      <c r="D33" s="5" t="s">
        <v>31</v>
      </c>
    </row>
    <row r="34" customFormat="false" ht="15" hidden="false" customHeight="false" outlineLevel="0" collapsed="false">
      <c r="B34" s="12" t="s">
        <v>35</v>
      </c>
      <c r="C34" s="7" t="n">
        <f aca="false">COUNTIF('Verification Register'!K:K,"HIGH")</f>
        <v>7</v>
      </c>
      <c r="D34" s="14" t="n">
        <f aca="false">IFERROR(C34/SUM($C$34:$C$36),0)</f>
        <v>0.152173913043478</v>
      </c>
    </row>
    <row r="35" customFormat="false" ht="15" hidden="false" customHeight="false" outlineLevel="0" collapsed="false">
      <c r="B35" s="12" t="s">
        <v>36</v>
      </c>
      <c r="C35" s="7" t="n">
        <f aca="false">COUNTIF('Verification Register'!K:K,"MEDIUM")</f>
        <v>14</v>
      </c>
      <c r="D35" s="14" t="n">
        <f aca="false">IFERROR(C35/SUM($C$34:$C$36),0)</f>
        <v>0.304347826086957</v>
      </c>
    </row>
    <row r="36" customFormat="false" ht="15" hidden="false" customHeight="false" outlineLevel="0" collapsed="false">
      <c r="B36" s="12" t="s">
        <v>37</v>
      </c>
      <c r="C36" s="7" t="n">
        <f aca="false">COUNTIF('Verification Register'!K:K,"LOW")</f>
        <v>25</v>
      </c>
      <c r="D36" s="14" t="n">
        <f aca="false">IFERROR(C36/SUM($C$34:$C$36),0)</f>
        <v>0.543478260869565</v>
      </c>
    </row>
    <row r="38" customFormat="false" ht="21.75" hidden="false" customHeight="true" outlineLevel="0" collapsed="false">
      <c r="B38" s="4" t="s">
        <v>38</v>
      </c>
      <c r="C38" s="4"/>
      <c r="D38" s="4"/>
    </row>
    <row r="39" customFormat="false" ht="15" hidden="false" customHeight="true" outlineLevel="0" collapsed="false">
      <c r="B39" s="5" t="s">
        <v>39</v>
      </c>
      <c r="C39" s="5" t="s">
        <v>40</v>
      </c>
      <c r="D39" s="5"/>
    </row>
    <row r="40" customFormat="false" ht="31.5" hidden="false" customHeight="true" outlineLevel="0" collapsed="false">
      <c r="B40" s="16" t="s">
        <v>41</v>
      </c>
      <c r="C40" s="13" t="s">
        <v>42</v>
      </c>
      <c r="D40" s="13"/>
    </row>
    <row r="41" customFormat="false" ht="31.5" hidden="false" customHeight="true" outlineLevel="0" collapsed="false">
      <c r="B41" s="16" t="s">
        <v>43</v>
      </c>
      <c r="C41" s="13" t="s">
        <v>44</v>
      </c>
      <c r="D41" s="13"/>
    </row>
    <row r="42" customFormat="false" ht="31.5" hidden="false" customHeight="true" outlineLevel="0" collapsed="false">
      <c r="B42" s="16" t="s">
        <v>45</v>
      </c>
      <c r="C42" s="13" t="s">
        <v>46</v>
      </c>
      <c r="D42" s="13"/>
    </row>
    <row r="43" customFormat="false" ht="31.5" hidden="false" customHeight="true" outlineLevel="0" collapsed="false">
      <c r="B43" s="16" t="s">
        <v>47</v>
      </c>
      <c r="C43" s="13" t="s">
        <v>48</v>
      </c>
      <c r="D43" s="13"/>
    </row>
    <row r="44" customFormat="false" ht="31.5" hidden="false" customHeight="true" outlineLevel="0" collapsed="false">
      <c r="B44" s="16" t="s">
        <v>49</v>
      </c>
      <c r="C44" s="13" t="s">
        <v>50</v>
      </c>
      <c r="D44" s="13"/>
    </row>
    <row r="45" customFormat="false" ht="31.5" hidden="false" customHeight="true" outlineLevel="0" collapsed="false">
      <c r="B45" s="16" t="s">
        <v>51</v>
      </c>
      <c r="C45" s="13" t="s">
        <v>52</v>
      </c>
      <c r="D45" s="13"/>
    </row>
    <row r="46" customFormat="false" ht="31.5" hidden="false" customHeight="true" outlineLevel="0" collapsed="false">
      <c r="B46" s="16" t="s">
        <v>53</v>
      </c>
      <c r="C46" s="13" t="s">
        <v>54</v>
      </c>
      <c r="D46" s="13"/>
    </row>
  </sheetData>
  <mergeCells count="21">
    <mergeCell ref="B2:D2"/>
    <mergeCell ref="B4:D4"/>
    <mergeCell ref="B5:D5"/>
    <mergeCell ref="B7:D7"/>
    <mergeCell ref="B16:D16"/>
    <mergeCell ref="C17:D17"/>
    <mergeCell ref="C18:D18"/>
    <mergeCell ref="C19:D19"/>
    <mergeCell ref="C20:D20"/>
    <mergeCell ref="C21:D21"/>
    <mergeCell ref="B24:D24"/>
    <mergeCell ref="B32:D32"/>
    <mergeCell ref="B38:D38"/>
    <mergeCell ref="C39:D39"/>
    <mergeCell ref="C40:D40"/>
    <mergeCell ref="C41:D41"/>
    <mergeCell ref="C42:D42"/>
    <mergeCell ref="C43:D43"/>
    <mergeCell ref="C44:D44"/>
    <mergeCell ref="C45:D45"/>
    <mergeCell ref="C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50"/>
  </cols>
  <sheetData>
    <row r="2" customFormat="false" ht="37.5" hidden="false" customHeight="true" outlineLevel="0" collapsed="false">
      <c r="B2" s="1" t="s">
        <v>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7.35" hidden="false" customHeight="false" outlineLevel="0" collapsed="false">
      <c r="B4" s="2" t="s">
        <v>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customFormat="false" ht="30" hidden="false" customHeight="true" outlineLevel="0" collapsed="false">
      <c r="B6" s="5" t="s">
        <v>57</v>
      </c>
      <c r="C6" s="5" t="s">
        <v>4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62</v>
      </c>
      <c r="I6" s="5" t="s">
        <v>19</v>
      </c>
      <c r="J6" s="5" t="s">
        <v>63</v>
      </c>
      <c r="K6" s="5" t="s">
        <v>34</v>
      </c>
      <c r="L6" s="5" t="s">
        <v>64</v>
      </c>
      <c r="M6" s="5" t="s">
        <v>65</v>
      </c>
    </row>
    <row r="7" customFormat="false" ht="45" hidden="false" customHeight="true" outlineLevel="0" collapsed="false">
      <c r="B7" s="17" t="n">
        <v>1</v>
      </c>
      <c r="C7" s="17" t="s">
        <v>66</v>
      </c>
      <c r="D7" s="17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7" t="s">
        <v>21</v>
      </c>
      <c r="J7" s="17" t="s">
        <v>72</v>
      </c>
      <c r="K7" s="17" t="s">
        <v>37</v>
      </c>
      <c r="L7" s="17" t="s">
        <v>73</v>
      </c>
      <c r="M7" s="13" t="s">
        <v>74</v>
      </c>
    </row>
    <row r="8" customFormat="false" ht="45" hidden="false" customHeight="true" outlineLevel="0" collapsed="false">
      <c r="B8" s="17" t="n">
        <v>2</v>
      </c>
      <c r="C8" s="17" t="s">
        <v>66</v>
      </c>
      <c r="D8" s="17" t="s">
        <v>75</v>
      </c>
      <c r="E8" s="13" t="s">
        <v>76</v>
      </c>
      <c r="F8" s="13" t="s">
        <v>77</v>
      </c>
      <c r="G8" s="13" t="s">
        <v>78</v>
      </c>
      <c r="H8" s="13" t="s">
        <v>79</v>
      </c>
      <c r="I8" s="17" t="s">
        <v>32</v>
      </c>
      <c r="J8" s="17" t="s">
        <v>80</v>
      </c>
      <c r="K8" s="17" t="s">
        <v>36</v>
      </c>
      <c r="L8" s="17" t="s">
        <v>73</v>
      </c>
      <c r="M8" s="13" t="s">
        <v>81</v>
      </c>
    </row>
    <row r="9" customFormat="false" ht="45" hidden="false" customHeight="true" outlineLevel="0" collapsed="false">
      <c r="B9" s="17" t="n">
        <v>3</v>
      </c>
      <c r="C9" s="17" t="s">
        <v>66</v>
      </c>
      <c r="D9" s="17" t="s">
        <v>82</v>
      </c>
      <c r="E9" s="13" t="s">
        <v>83</v>
      </c>
      <c r="F9" s="13" t="s">
        <v>84</v>
      </c>
      <c r="G9" s="13" t="s">
        <v>85</v>
      </c>
      <c r="H9" s="13" t="s">
        <v>79</v>
      </c>
      <c r="I9" s="17" t="s">
        <v>32</v>
      </c>
      <c r="J9" s="17" t="s">
        <v>86</v>
      </c>
      <c r="K9" s="17" t="s">
        <v>36</v>
      </c>
      <c r="L9" s="17" t="s">
        <v>73</v>
      </c>
      <c r="M9" s="13" t="s">
        <v>87</v>
      </c>
    </row>
    <row r="10" customFormat="false" ht="45" hidden="false" customHeight="true" outlineLevel="0" collapsed="false">
      <c r="B10" s="17" t="n">
        <v>4</v>
      </c>
      <c r="C10" s="17" t="s">
        <v>66</v>
      </c>
      <c r="D10" s="17" t="s">
        <v>88</v>
      </c>
      <c r="E10" s="13" t="s">
        <v>89</v>
      </c>
      <c r="F10" s="13" t="s">
        <v>90</v>
      </c>
      <c r="G10" s="13" t="s">
        <v>91</v>
      </c>
      <c r="H10" s="13" t="s">
        <v>92</v>
      </c>
      <c r="I10" s="17" t="s">
        <v>21</v>
      </c>
      <c r="J10" s="17" t="s">
        <v>93</v>
      </c>
      <c r="K10" s="17" t="s">
        <v>37</v>
      </c>
      <c r="L10" s="17" t="s">
        <v>73</v>
      </c>
      <c r="M10" s="13" t="s">
        <v>74</v>
      </c>
    </row>
    <row r="11" customFormat="false" ht="45" hidden="false" customHeight="true" outlineLevel="0" collapsed="false">
      <c r="B11" s="17" t="n">
        <v>5</v>
      </c>
      <c r="C11" s="17" t="s">
        <v>66</v>
      </c>
      <c r="D11" s="17" t="s">
        <v>94</v>
      </c>
      <c r="E11" s="13" t="s">
        <v>95</v>
      </c>
      <c r="F11" s="13" t="s">
        <v>69</v>
      </c>
      <c r="G11" s="13" t="s">
        <v>96</v>
      </c>
      <c r="H11" s="13" t="s">
        <v>79</v>
      </c>
      <c r="I11" s="17" t="s">
        <v>32</v>
      </c>
      <c r="J11" s="17" t="s">
        <v>97</v>
      </c>
      <c r="K11" s="17" t="s">
        <v>37</v>
      </c>
      <c r="L11" s="17" t="s">
        <v>73</v>
      </c>
      <c r="M11" s="13" t="s">
        <v>74</v>
      </c>
    </row>
    <row r="12" customFormat="false" ht="45" hidden="false" customHeight="true" outlineLevel="0" collapsed="false">
      <c r="B12" s="17" t="n">
        <v>6</v>
      </c>
      <c r="C12" s="17" t="s">
        <v>66</v>
      </c>
      <c r="D12" s="17" t="s">
        <v>98</v>
      </c>
      <c r="E12" s="13" t="s">
        <v>99</v>
      </c>
      <c r="F12" s="13" t="s">
        <v>100</v>
      </c>
      <c r="G12" s="13" t="s">
        <v>101</v>
      </c>
      <c r="H12" s="13" t="s">
        <v>92</v>
      </c>
      <c r="I12" s="17" t="s">
        <v>21</v>
      </c>
      <c r="J12" s="17" t="s">
        <v>102</v>
      </c>
      <c r="K12" s="17" t="s">
        <v>37</v>
      </c>
      <c r="L12" s="17" t="s">
        <v>73</v>
      </c>
      <c r="M12" s="13" t="s">
        <v>74</v>
      </c>
    </row>
    <row r="13" customFormat="false" ht="45" hidden="false" customHeight="true" outlineLevel="0" collapsed="false">
      <c r="B13" s="17" t="n">
        <v>7</v>
      </c>
      <c r="C13" s="17" t="s">
        <v>66</v>
      </c>
      <c r="D13" s="17" t="s">
        <v>103</v>
      </c>
      <c r="E13" s="13" t="s">
        <v>104</v>
      </c>
      <c r="F13" s="13" t="s">
        <v>105</v>
      </c>
      <c r="G13" s="13" t="s">
        <v>106</v>
      </c>
      <c r="H13" s="13" t="s">
        <v>92</v>
      </c>
      <c r="I13" s="17" t="s">
        <v>23</v>
      </c>
      <c r="J13" s="17" t="s">
        <v>107</v>
      </c>
      <c r="K13" s="17" t="s">
        <v>36</v>
      </c>
      <c r="L13" s="17" t="s">
        <v>73</v>
      </c>
      <c r="M13" s="13" t="s">
        <v>108</v>
      </c>
    </row>
    <row r="14" customFormat="false" ht="45" hidden="false" customHeight="true" outlineLevel="0" collapsed="false">
      <c r="B14" s="17" t="n">
        <v>8</v>
      </c>
      <c r="C14" s="17" t="s">
        <v>66</v>
      </c>
      <c r="D14" s="17" t="s">
        <v>109</v>
      </c>
      <c r="E14" s="13" t="s">
        <v>110</v>
      </c>
      <c r="F14" s="13" t="s">
        <v>111</v>
      </c>
      <c r="G14" s="13" t="s">
        <v>112</v>
      </c>
      <c r="H14" s="13" t="s">
        <v>113</v>
      </c>
      <c r="I14" s="17" t="s">
        <v>32</v>
      </c>
      <c r="J14" s="17" t="s">
        <v>114</v>
      </c>
      <c r="K14" s="17" t="s">
        <v>37</v>
      </c>
      <c r="L14" s="17" t="s">
        <v>73</v>
      </c>
      <c r="M14" s="13" t="s">
        <v>74</v>
      </c>
    </row>
    <row r="15" customFormat="false" ht="45" hidden="false" customHeight="true" outlineLevel="0" collapsed="false">
      <c r="B15" s="17" t="n">
        <v>9</v>
      </c>
      <c r="C15" s="17" t="s">
        <v>66</v>
      </c>
      <c r="D15" s="17" t="s">
        <v>115</v>
      </c>
      <c r="E15" s="13" t="s">
        <v>116</v>
      </c>
      <c r="F15" s="13" t="s">
        <v>117</v>
      </c>
      <c r="G15" s="13" t="s">
        <v>118</v>
      </c>
      <c r="H15" s="13" t="s">
        <v>71</v>
      </c>
      <c r="I15" s="17" t="s">
        <v>21</v>
      </c>
      <c r="J15" s="17" t="s">
        <v>119</v>
      </c>
      <c r="K15" s="17" t="s">
        <v>37</v>
      </c>
      <c r="L15" s="17" t="s">
        <v>73</v>
      </c>
      <c r="M15" s="13" t="s">
        <v>120</v>
      </c>
    </row>
    <row r="16" customFormat="false" ht="45" hidden="false" customHeight="true" outlineLevel="0" collapsed="false">
      <c r="B16" s="17" t="n">
        <v>10</v>
      </c>
      <c r="C16" s="17" t="s">
        <v>66</v>
      </c>
      <c r="D16" s="17" t="s">
        <v>121</v>
      </c>
      <c r="E16" s="13" t="s">
        <v>122</v>
      </c>
      <c r="F16" s="13" t="s">
        <v>123</v>
      </c>
      <c r="G16" s="13" t="s">
        <v>124</v>
      </c>
      <c r="H16" s="13" t="s">
        <v>125</v>
      </c>
      <c r="I16" s="17" t="s">
        <v>21</v>
      </c>
      <c r="J16" s="17" t="s">
        <v>126</v>
      </c>
      <c r="K16" s="17" t="s">
        <v>37</v>
      </c>
      <c r="L16" s="17" t="s">
        <v>73</v>
      </c>
      <c r="M16" s="13" t="s">
        <v>127</v>
      </c>
    </row>
    <row r="17" customFormat="false" ht="45" hidden="false" customHeight="true" outlineLevel="0" collapsed="false">
      <c r="B17" s="17" t="n">
        <v>11</v>
      </c>
      <c r="C17" s="17" t="s">
        <v>66</v>
      </c>
      <c r="D17" s="17" t="s">
        <v>128</v>
      </c>
      <c r="E17" s="13" t="s">
        <v>129</v>
      </c>
      <c r="F17" s="13" t="s">
        <v>130</v>
      </c>
      <c r="G17" s="13" t="s">
        <v>131</v>
      </c>
      <c r="H17" s="13" t="s">
        <v>132</v>
      </c>
      <c r="I17" s="17" t="s">
        <v>21</v>
      </c>
      <c r="J17" s="17" t="s">
        <v>133</v>
      </c>
      <c r="K17" s="17" t="s">
        <v>37</v>
      </c>
      <c r="L17" s="17" t="s">
        <v>73</v>
      </c>
      <c r="M17" s="13" t="s">
        <v>134</v>
      </c>
    </row>
    <row r="18" customFormat="false" ht="45" hidden="false" customHeight="true" outlineLevel="0" collapsed="false">
      <c r="B18" s="17" t="n">
        <v>12</v>
      </c>
      <c r="C18" s="17" t="s">
        <v>66</v>
      </c>
      <c r="D18" s="17" t="s">
        <v>135</v>
      </c>
      <c r="E18" s="13" t="s">
        <v>136</v>
      </c>
      <c r="F18" s="13" t="s">
        <v>137</v>
      </c>
      <c r="G18" s="13" t="s">
        <v>138</v>
      </c>
      <c r="H18" s="13" t="s">
        <v>132</v>
      </c>
      <c r="I18" s="17" t="s">
        <v>32</v>
      </c>
      <c r="J18" s="17" t="s">
        <v>139</v>
      </c>
      <c r="K18" s="17" t="s">
        <v>36</v>
      </c>
      <c r="L18" s="17" t="s">
        <v>73</v>
      </c>
      <c r="M18" s="13" t="s">
        <v>140</v>
      </c>
    </row>
    <row r="19" customFormat="false" ht="45" hidden="false" customHeight="true" outlineLevel="0" collapsed="false">
      <c r="B19" s="17" t="n">
        <v>13</v>
      </c>
      <c r="C19" s="17" t="s">
        <v>66</v>
      </c>
      <c r="D19" s="17" t="s">
        <v>141</v>
      </c>
      <c r="E19" s="13" t="s">
        <v>142</v>
      </c>
      <c r="F19" s="13" t="s">
        <v>143</v>
      </c>
      <c r="G19" s="13" t="s">
        <v>144</v>
      </c>
      <c r="H19" s="13" t="s">
        <v>71</v>
      </c>
      <c r="I19" s="17" t="s">
        <v>32</v>
      </c>
      <c r="J19" s="17" t="s">
        <v>145</v>
      </c>
      <c r="K19" s="17" t="s">
        <v>36</v>
      </c>
      <c r="L19" s="17" t="s">
        <v>73</v>
      </c>
      <c r="M19" s="13" t="s">
        <v>87</v>
      </c>
    </row>
    <row r="20" customFormat="false" ht="45" hidden="false" customHeight="true" outlineLevel="0" collapsed="false">
      <c r="B20" s="17" t="n">
        <v>14</v>
      </c>
      <c r="C20" s="17" t="s">
        <v>66</v>
      </c>
      <c r="D20" s="17" t="s">
        <v>146</v>
      </c>
      <c r="E20" s="13" t="s">
        <v>147</v>
      </c>
      <c r="F20" s="13" t="s">
        <v>148</v>
      </c>
      <c r="G20" s="13" t="s">
        <v>149</v>
      </c>
      <c r="H20" s="13" t="s">
        <v>92</v>
      </c>
      <c r="I20" s="17" t="s">
        <v>32</v>
      </c>
      <c r="J20" s="17" t="s">
        <v>150</v>
      </c>
      <c r="K20" s="17" t="s">
        <v>37</v>
      </c>
      <c r="L20" s="17" t="s">
        <v>73</v>
      </c>
      <c r="M20" s="13" t="s">
        <v>151</v>
      </c>
    </row>
    <row r="21" customFormat="false" ht="45" hidden="false" customHeight="true" outlineLevel="0" collapsed="false">
      <c r="B21" s="17" t="n">
        <v>15</v>
      </c>
      <c r="C21" s="17" t="s">
        <v>66</v>
      </c>
      <c r="D21" s="17" t="s">
        <v>152</v>
      </c>
      <c r="E21" s="13" t="s">
        <v>153</v>
      </c>
      <c r="F21" s="13" t="s">
        <v>154</v>
      </c>
      <c r="G21" s="13" t="s">
        <v>155</v>
      </c>
      <c r="H21" s="13" t="s">
        <v>92</v>
      </c>
      <c r="I21" s="17" t="s">
        <v>32</v>
      </c>
      <c r="J21" s="17" t="s">
        <v>156</v>
      </c>
      <c r="K21" s="17" t="s">
        <v>37</v>
      </c>
      <c r="L21" s="17" t="s">
        <v>73</v>
      </c>
      <c r="M21" s="13" t="s">
        <v>157</v>
      </c>
    </row>
    <row r="22" customFormat="false" ht="45" hidden="false" customHeight="true" outlineLevel="0" collapsed="false">
      <c r="B22" s="17" t="n">
        <v>16</v>
      </c>
      <c r="C22" s="17" t="s">
        <v>158</v>
      </c>
      <c r="D22" s="17" t="s">
        <v>159</v>
      </c>
      <c r="E22" s="13" t="s">
        <v>160</v>
      </c>
      <c r="F22" s="13" t="s">
        <v>161</v>
      </c>
      <c r="G22" s="13" t="s">
        <v>162</v>
      </c>
      <c r="H22" s="13" t="s">
        <v>92</v>
      </c>
      <c r="I22" s="17" t="s">
        <v>21</v>
      </c>
      <c r="J22" s="17" t="s">
        <v>163</v>
      </c>
      <c r="K22" s="17" t="s">
        <v>35</v>
      </c>
      <c r="L22" s="17" t="s">
        <v>73</v>
      </c>
      <c r="M22" s="13" t="s">
        <v>164</v>
      </c>
    </row>
    <row r="23" customFormat="false" ht="45" hidden="false" customHeight="true" outlineLevel="0" collapsed="false">
      <c r="B23" s="17" t="n">
        <v>17</v>
      </c>
      <c r="C23" s="17" t="s">
        <v>158</v>
      </c>
      <c r="D23" s="17" t="s">
        <v>165</v>
      </c>
      <c r="E23" s="13" t="s">
        <v>166</v>
      </c>
      <c r="F23" s="13" t="s">
        <v>161</v>
      </c>
      <c r="G23" s="13" t="s">
        <v>167</v>
      </c>
      <c r="H23" s="13" t="s">
        <v>92</v>
      </c>
      <c r="I23" s="17" t="s">
        <v>21</v>
      </c>
      <c r="J23" s="17" t="s">
        <v>168</v>
      </c>
      <c r="K23" s="17" t="s">
        <v>35</v>
      </c>
      <c r="L23" s="17" t="s">
        <v>73</v>
      </c>
      <c r="M23" s="13" t="s">
        <v>164</v>
      </c>
    </row>
    <row r="24" customFormat="false" ht="45" hidden="false" customHeight="true" outlineLevel="0" collapsed="false">
      <c r="B24" s="17" t="n">
        <v>18</v>
      </c>
      <c r="C24" s="17" t="s">
        <v>158</v>
      </c>
      <c r="D24" s="17" t="s">
        <v>169</v>
      </c>
      <c r="E24" s="13" t="s">
        <v>170</v>
      </c>
      <c r="F24" s="13" t="s">
        <v>171</v>
      </c>
      <c r="G24" s="13" t="s">
        <v>172</v>
      </c>
      <c r="H24" s="13" t="s">
        <v>92</v>
      </c>
      <c r="I24" s="17" t="s">
        <v>21</v>
      </c>
      <c r="J24" s="17" t="s">
        <v>173</v>
      </c>
      <c r="K24" s="17" t="s">
        <v>35</v>
      </c>
      <c r="L24" s="17" t="s">
        <v>73</v>
      </c>
      <c r="M24" s="13" t="s">
        <v>164</v>
      </c>
    </row>
    <row r="25" customFormat="false" ht="45" hidden="false" customHeight="true" outlineLevel="0" collapsed="false">
      <c r="B25" s="17" t="n">
        <v>19</v>
      </c>
      <c r="C25" s="17" t="s">
        <v>158</v>
      </c>
      <c r="D25" s="17" t="s">
        <v>174</v>
      </c>
      <c r="E25" s="13" t="s">
        <v>175</v>
      </c>
      <c r="F25" s="13" t="s">
        <v>176</v>
      </c>
      <c r="G25" s="13" t="s">
        <v>177</v>
      </c>
      <c r="H25" s="13" t="s">
        <v>79</v>
      </c>
      <c r="I25" s="17" t="s">
        <v>21</v>
      </c>
      <c r="J25" s="17" t="s">
        <v>178</v>
      </c>
      <c r="K25" s="17" t="s">
        <v>36</v>
      </c>
      <c r="L25" s="17" t="s">
        <v>73</v>
      </c>
      <c r="M25" s="13" t="s">
        <v>164</v>
      </c>
    </row>
    <row r="26" customFormat="false" ht="45" hidden="false" customHeight="true" outlineLevel="0" collapsed="false">
      <c r="B26" s="17" t="n">
        <v>20</v>
      </c>
      <c r="C26" s="17" t="s">
        <v>158</v>
      </c>
      <c r="D26" s="17" t="s">
        <v>179</v>
      </c>
      <c r="E26" s="13" t="s">
        <v>180</v>
      </c>
      <c r="F26" s="13" t="s">
        <v>181</v>
      </c>
      <c r="G26" s="13" t="s">
        <v>182</v>
      </c>
      <c r="H26" s="13" t="s">
        <v>132</v>
      </c>
      <c r="I26" s="17" t="s">
        <v>21</v>
      </c>
      <c r="J26" s="17" t="s">
        <v>183</v>
      </c>
      <c r="K26" s="17" t="s">
        <v>35</v>
      </c>
      <c r="L26" s="17" t="s">
        <v>73</v>
      </c>
      <c r="M26" s="13" t="s">
        <v>164</v>
      </c>
    </row>
    <row r="27" customFormat="false" ht="45" hidden="false" customHeight="true" outlineLevel="0" collapsed="false">
      <c r="B27" s="17" t="n">
        <v>21</v>
      </c>
      <c r="C27" s="17" t="s">
        <v>158</v>
      </c>
      <c r="D27" s="17" t="s">
        <v>184</v>
      </c>
      <c r="E27" s="13" t="s">
        <v>185</v>
      </c>
      <c r="F27" s="13" t="s">
        <v>186</v>
      </c>
      <c r="G27" s="13" t="s">
        <v>187</v>
      </c>
      <c r="H27" s="13" t="s">
        <v>92</v>
      </c>
      <c r="I27" s="17" t="s">
        <v>21</v>
      </c>
      <c r="J27" s="17" t="s">
        <v>188</v>
      </c>
      <c r="K27" s="17" t="s">
        <v>37</v>
      </c>
      <c r="L27" s="17" t="s">
        <v>73</v>
      </c>
      <c r="M27" s="13" t="s">
        <v>189</v>
      </c>
    </row>
    <row r="28" customFormat="false" ht="45" hidden="false" customHeight="true" outlineLevel="0" collapsed="false">
      <c r="B28" s="17" t="n">
        <v>22</v>
      </c>
      <c r="C28" s="17" t="s">
        <v>158</v>
      </c>
      <c r="D28" s="17" t="s">
        <v>190</v>
      </c>
      <c r="E28" s="13" t="s">
        <v>191</v>
      </c>
      <c r="F28" s="13" t="s">
        <v>192</v>
      </c>
      <c r="G28" s="13" t="s">
        <v>193</v>
      </c>
      <c r="H28" s="13" t="s">
        <v>92</v>
      </c>
      <c r="I28" s="17" t="s">
        <v>21</v>
      </c>
      <c r="J28" s="17" t="s">
        <v>194</v>
      </c>
      <c r="K28" s="17" t="s">
        <v>37</v>
      </c>
      <c r="L28" s="17" t="s">
        <v>73</v>
      </c>
      <c r="M28" s="13" t="s">
        <v>164</v>
      </c>
    </row>
    <row r="29" customFormat="false" ht="45" hidden="false" customHeight="true" outlineLevel="0" collapsed="false">
      <c r="B29" s="17" t="n">
        <v>23</v>
      </c>
      <c r="C29" s="17" t="s">
        <v>195</v>
      </c>
      <c r="D29" s="17" t="s">
        <v>196</v>
      </c>
      <c r="E29" s="13" t="s">
        <v>197</v>
      </c>
      <c r="F29" s="13" t="s">
        <v>198</v>
      </c>
      <c r="G29" s="13" t="s">
        <v>199</v>
      </c>
      <c r="H29" s="13" t="s">
        <v>92</v>
      </c>
      <c r="I29" s="17" t="s">
        <v>21</v>
      </c>
      <c r="J29" s="17" t="s">
        <v>200</v>
      </c>
      <c r="K29" s="17" t="s">
        <v>37</v>
      </c>
      <c r="L29" s="17" t="s">
        <v>73</v>
      </c>
      <c r="M29" s="13" t="s">
        <v>201</v>
      </c>
    </row>
    <row r="30" customFormat="false" ht="45" hidden="false" customHeight="true" outlineLevel="0" collapsed="false">
      <c r="B30" s="17" t="n">
        <v>24</v>
      </c>
      <c r="C30" s="17" t="s">
        <v>195</v>
      </c>
      <c r="D30" s="17" t="s">
        <v>202</v>
      </c>
      <c r="E30" s="13" t="s">
        <v>203</v>
      </c>
      <c r="F30" s="13" t="s">
        <v>204</v>
      </c>
      <c r="G30" s="13" t="s">
        <v>205</v>
      </c>
      <c r="H30" s="13" t="s">
        <v>71</v>
      </c>
      <c r="I30" s="17" t="s">
        <v>21</v>
      </c>
      <c r="J30" s="17" t="s">
        <v>206</v>
      </c>
      <c r="K30" s="17" t="s">
        <v>36</v>
      </c>
      <c r="L30" s="17" t="s">
        <v>73</v>
      </c>
      <c r="M30" s="13" t="s">
        <v>201</v>
      </c>
    </row>
    <row r="31" customFormat="false" ht="45" hidden="false" customHeight="true" outlineLevel="0" collapsed="false">
      <c r="B31" s="17" t="n">
        <v>25</v>
      </c>
      <c r="C31" s="17" t="s">
        <v>195</v>
      </c>
      <c r="D31" s="17" t="s">
        <v>207</v>
      </c>
      <c r="E31" s="13" t="s">
        <v>208</v>
      </c>
      <c r="F31" s="13" t="s">
        <v>209</v>
      </c>
      <c r="G31" s="13" t="s">
        <v>210</v>
      </c>
      <c r="H31" s="13" t="s">
        <v>211</v>
      </c>
      <c r="I31" s="17" t="s">
        <v>21</v>
      </c>
      <c r="J31" s="17" t="s">
        <v>212</v>
      </c>
      <c r="K31" s="17" t="s">
        <v>37</v>
      </c>
      <c r="L31" s="17" t="s">
        <v>73</v>
      </c>
      <c r="M31" s="13" t="s">
        <v>213</v>
      </c>
    </row>
    <row r="32" customFormat="false" ht="45" hidden="false" customHeight="true" outlineLevel="0" collapsed="false">
      <c r="B32" s="17" t="n">
        <v>26</v>
      </c>
      <c r="C32" s="17" t="s">
        <v>195</v>
      </c>
      <c r="D32" s="17" t="s">
        <v>214</v>
      </c>
      <c r="E32" s="13" t="s">
        <v>215</v>
      </c>
      <c r="F32" s="13" t="s">
        <v>216</v>
      </c>
      <c r="G32" s="13" t="s">
        <v>217</v>
      </c>
      <c r="H32" s="13" t="s">
        <v>71</v>
      </c>
      <c r="I32" s="17" t="s">
        <v>32</v>
      </c>
      <c r="J32" s="17" t="s">
        <v>218</v>
      </c>
      <c r="K32" s="17" t="s">
        <v>36</v>
      </c>
      <c r="L32" s="17" t="s">
        <v>73</v>
      </c>
      <c r="M32" s="13" t="s">
        <v>219</v>
      </c>
    </row>
    <row r="33" customFormat="false" ht="45" hidden="false" customHeight="true" outlineLevel="0" collapsed="false">
      <c r="B33" s="17" t="n">
        <v>27</v>
      </c>
      <c r="C33" s="17" t="s">
        <v>195</v>
      </c>
      <c r="D33" s="17" t="s">
        <v>220</v>
      </c>
      <c r="E33" s="13" t="s">
        <v>221</v>
      </c>
      <c r="F33" s="13" t="s">
        <v>222</v>
      </c>
      <c r="G33" s="13" t="s">
        <v>223</v>
      </c>
      <c r="H33" s="13" t="s">
        <v>224</v>
      </c>
      <c r="I33" s="17" t="s">
        <v>32</v>
      </c>
      <c r="J33" s="17" t="s">
        <v>225</v>
      </c>
      <c r="K33" s="17" t="s">
        <v>37</v>
      </c>
      <c r="L33" s="17" t="s">
        <v>73</v>
      </c>
      <c r="M33" s="13" t="s">
        <v>201</v>
      </c>
    </row>
    <row r="34" customFormat="false" ht="45" hidden="false" customHeight="true" outlineLevel="0" collapsed="false">
      <c r="B34" s="17" t="n">
        <v>28</v>
      </c>
      <c r="C34" s="17" t="s">
        <v>195</v>
      </c>
      <c r="D34" s="17" t="s">
        <v>226</v>
      </c>
      <c r="E34" s="13" t="s">
        <v>227</v>
      </c>
      <c r="F34" s="13" t="s">
        <v>228</v>
      </c>
      <c r="G34" s="13" t="s">
        <v>229</v>
      </c>
      <c r="H34" s="13" t="s">
        <v>71</v>
      </c>
      <c r="I34" s="17" t="s">
        <v>21</v>
      </c>
      <c r="J34" s="17" t="s">
        <v>230</v>
      </c>
      <c r="K34" s="17" t="s">
        <v>36</v>
      </c>
      <c r="L34" s="17" t="s">
        <v>73</v>
      </c>
      <c r="M34" s="13" t="s">
        <v>231</v>
      </c>
    </row>
    <row r="35" customFormat="false" ht="45" hidden="false" customHeight="true" outlineLevel="0" collapsed="false">
      <c r="B35" s="17" t="n">
        <v>29</v>
      </c>
      <c r="C35" s="17" t="s">
        <v>195</v>
      </c>
      <c r="D35" s="17" t="s">
        <v>232</v>
      </c>
      <c r="E35" s="13" t="s">
        <v>233</v>
      </c>
      <c r="F35" s="13" t="s">
        <v>234</v>
      </c>
      <c r="G35" s="13" t="s">
        <v>235</v>
      </c>
      <c r="H35" s="13" t="s">
        <v>92</v>
      </c>
      <c r="I35" s="17" t="s">
        <v>21</v>
      </c>
      <c r="J35" s="17" t="s">
        <v>236</v>
      </c>
      <c r="K35" s="17" t="s">
        <v>37</v>
      </c>
      <c r="L35" s="17" t="s">
        <v>73</v>
      </c>
      <c r="M35" s="13" t="s">
        <v>237</v>
      </c>
    </row>
    <row r="36" customFormat="false" ht="45" hidden="false" customHeight="true" outlineLevel="0" collapsed="false">
      <c r="B36" s="17" t="n">
        <v>30</v>
      </c>
      <c r="C36" s="17" t="s">
        <v>195</v>
      </c>
      <c r="D36" s="17" t="s">
        <v>238</v>
      </c>
      <c r="E36" s="13" t="s">
        <v>239</v>
      </c>
      <c r="F36" s="13" t="s">
        <v>240</v>
      </c>
      <c r="G36" s="13" t="s">
        <v>241</v>
      </c>
      <c r="H36" s="13" t="s">
        <v>92</v>
      </c>
      <c r="I36" s="17" t="s">
        <v>23</v>
      </c>
      <c r="J36" s="17" t="s">
        <v>242</v>
      </c>
      <c r="K36" s="17" t="s">
        <v>35</v>
      </c>
      <c r="L36" s="17" t="s">
        <v>73</v>
      </c>
      <c r="M36" s="13" t="s">
        <v>243</v>
      </c>
    </row>
    <row r="37" customFormat="false" ht="45" hidden="false" customHeight="true" outlineLevel="0" collapsed="false">
      <c r="B37" s="17" t="n">
        <v>31</v>
      </c>
      <c r="C37" s="17" t="s">
        <v>244</v>
      </c>
      <c r="D37" s="17" t="s">
        <v>245</v>
      </c>
      <c r="E37" s="13" t="s">
        <v>246</v>
      </c>
      <c r="F37" s="13" t="s">
        <v>247</v>
      </c>
      <c r="G37" s="13" t="s">
        <v>248</v>
      </c>
      <c r="H37" s="13" t="s">
        <v>92</v>
      </c>
      <c r="I37" s="17" t="s">
        <v>21</v>
      </c>
      <c r="J37" s="17" t="s">
        <v>249</v>
      </c>
      <c r="K37" s="17" t="s">
        <v>37</v>
      </c>
      <c r="L37" s="17" t="s">
        <v>73</v>
      </c>
      <c r="M37" s="13" t="s">
        <v>250</v>
      </c>
    </row>
    <row r="38" customFormat="false" ht="45" hidden="false" customHeight="true" outlineLevel="0" collapsed="false">
      <c r="B38" s="17" t="n">
        <v>32</v>
      </c>
      <c r="C38" s="17" t="s">
        <v>244</v>
      </c>
      <c r="D38" s="17" t="s">
        <v>251</v>
      </c>
      <c r="E38" s="13" t="s">
        <v>252</v>
      </c>
      <c r="F38" s="13" t="s">
        <v>253</v>
      </c>
      <c r="G38" s="13" t="s">
        <v>254</v>
      </c>
      <c r="H38" s="13" t="s">
        <v>92</v>
      </c>
      <c r="I38" s="17" t="s">
        <v>21</v>
      </c>
      <c r="J38" s="17" t="s">
        <v>255</v>
      </c>
      <c r="K38" s="17" t="s">
        <v>36</v>
      </c>
      <c r="L38" s="17" t="s">
        <v>73</v>
      </c>
      <c r="M38" s="13" t="s">
        <v>250</v>
      </c>
    </row>
    <row r="39" customFormat="false" ht="45" hidden="false" customHeight="true" outlineLevel="0" collapsed="false">
      <c r="B39" s="17" t="n">
        <v>33</v>
      </c>
      <c r="C39" s="17" t="s">
        <v>244</v>
      </c>
      <c r="D39" s="17" t="s">
        <v>256</v>
      </c>
      <c r="E39" s="13" t="s">
        <v>257</v>
      </c>
      <c r="F39" s="13" t="s">
        <v>258</v>
      </c>
      <c r="G39" s="13" t="s">
        <v>259</v>
      </c>
      <c r="H39" s="13" t="s">
        <v>71</v>
      </c>
      <c r="I39" s="17" t="s">
        <v>21</v>
      </c>
      <c r="J39" s="17" t="s">
        <v>260</v>
      </c>
      <c r="K39" s="17" t="s">
        <v>35</v>
      </c>
      <c r="L39" s="17" t="s">
        <v>73</v>
      </c>
      <c r="M39" s="13" t="s">
        <v>261</v>
      </c>
    </row>
    <row r="40" customFormat="false" ht="45" hidden="false" customHeight="true" outlineLevel="0" collapsed="false">
      <c r="B40" s="17" t="n">
        <v>34</v>
      </c>
      <c r="C40" s="17" t="s">
        <v>244</v>
      </c>
      <c r="D40" s="17" t="s">
        <v>262</v>
      </c>
      <c r="E40" s="13" t="s">
        <v>263</v>
      </c>
      <c r="F40" s="13" t="s">
        <v>264</v>
      </c>
      <c r="G40" s="13" t="s">
        <v>265</v>
      </c>
      <c r="H40" s="13" t="s">
        <v>92</v>
      </c>
      <c r="I40" s="17" t="s">
        <v>21</v>
      </c>
      <c r="J40" s="17" t="s">
        <v>266</v>
      </c>
      <c r="K40" s="17" t="s">
        <v>37</v>
      </c>
      <c r="L40" s="17" t="s">
        <v>73</v>
      </c>
      <c r="M40" s="13" t="s">
        <v>189</v>
      </c>
    </row>
    <row r="41" customFormat="false" ht="45" hidden="false" customHeight="true" outlineLevel="0" collapsed="false">
      <c r="B41" s="17" t="n">
        <v>35</v>
      </c>
      <c r="C41" s="17" t="s">
        <v>244</v>
      </c>
      <c r="D41" s="17" t="s">
        <v>267</v>
      </c>
      <c r="E41" s="13" t="s">
        <v>268</v>
      </c>
      <c r="F41" s="13" t="s">
        <v>269</v>
      </c>
      <c r="G41" s="13" t="s">
        <v>270</v>
      </c>
      <c r="H41" s="13" t="s">
        <v>71</v>
      </c>
      <c r="I41" s="17" t="s">
        <v>21</v>
      </c>
      <c r="J41" s="17" t="s">
        <v>271</v>
      </c>
      <c r="K41" s="17" t="s">
        <v>35</v>
      </c>
      <c r="L41" s="17" t="s">
        <v>73</v>
      </c>
      <c r="M41" s="13" t="s">
        <v>272</v>
      </c>
    </row>
    <row r="42" customFormat="false" ht="45" hidden="false" customHeight="true" outlineLevel="0" collapsed="false">
      <c r="B42" s="17" t="n">
        <v>36</v>
      </c>
      <c r="C42" s="17" t="s">
        <v>244</v>
      </c>
      <c r="D42" s="17" t="s">
        <v>273</v>
      </c>
      <c r="E42" s="13" t="s">
        <v>274</v>
      </c>
      <c r="F42" s="13" t="s">
        <v>275</v>
      </c>
      <c r="G42" s="13" t="s">
        <v>276</v>
      </c>
      <c r="H42" s="13" t="s">
        <v>92</v>
      </c>
      <c r="I42" s="17" t="s">
        <v>32</v>
      </c>
      <c r="J42" s="17" t="s">
        <v>277</v>
      </c>
      <c r="K42" s="17" t="s">
        <v>37</v>
      </c>
      <c r="L42" s="17" t="s">
        <v>73</v>
      </c>
      <c r="M42" s="13" t="s">
        <v>278</v>
      </c>
    </row>
    <row r="43" customFormat="false" ht="45" hidden="false" customHeight="true" outlineLevel="0" collapsed="false">
      <c r="B43" s="17" t="n">
        <v>37</v>
      </c>
      <c r="C43" s="17" t="s">
        <v>279</v>
      </c>
      <c r="D43" s="17" t="s">
        <v>280</v>
      </c>
      <c r="E43" s="13" t="s">
        <v>281</v>
      </c>
      <c r="F43" s="13" t="s">
        <v>282</v>
      </c>
      <c r="G43" s="13" t="s">
        <v>283</v>
      </c>
      <c r="H43" s="13" t="s">
        <v>92</v>
      </c>
      <c r="I43" s="17" t="s">
        <v>21</v>
      </c>
      <c r="J43" s="17" t="s">
        <v>284</v>
      </c>
      <c r="K43" s="17" t="s">
        <v>37</v>
      </c>
      <c r="L43" s="17" t="s">
        <v>73</v>
      </c>
      <c r="M43" s="13" t="s">
        <v>108</v>
      </c>
    </row>
    <row r="44" customFormat="false" ht="45" hidden="false" customHeight="true" outlineLevel="0" collapsed="false">
      <c r="B44" s="17" t="n">
        <v>38</v>
      </c>
      <c r="C44" s="17" t="s">
        <v>279</v>
      </c>
      <c r="D44" s="17" t="s">
        <v>285</v>
      </c>
      <c r="E44" s="13" t="s">
        <v>286</v>
      </c>
      <c r="F44" s="13" t="s">
        <v>287</v>
      </c>
      <c r="G44" s="13" t="s">
        <v>288</v>
      </c>
      <c r="H44" s="13" t="s">
        <v>92</v>
      </c>
      <c r="I44" s="17" t="s">
        <v>21</v>
      </c>
      <c r="J44" s="17" t="s">
        <v>289</v>
      </c>
      <c r="K44" s="17" t="s">
        <v>37</v>
      </c>
      <c r="L44" s="17" t="s">
        <v>73</v>
      </c>
      <c r="M44" s="13" t="s">
        <v>290</v>
      </c>
    </row>
    <row r="45" customFormat="false" ht="45" hidden="false" customHeight="true" outlineLevel="0" collapsed="false">
      <c r="B45" s="17" t="n">
        <v>39</v>
      </c>
      <c r="C45" s="17" t="s">
        <v>279</v>
      </c>
      <c r="D45" s="17" t="s">
        <v>291</v>
      </c>
      <c r="E45" s="13" t="s">
        <v>292</v>
      </c>
      <c r="F45" s="13" t="s">
        <v>293</v>
      </c>
      <c r="G45" s="13" t="s">
        <v>294</v>
      </c>
      <c r="H45" s="13" t="s">
        <v>71</v>
      </c>
      <c r="I45" s="17" t="s">
        <v>21</v>
      </c>
      <c r="J45" s="17" t="s">
        <v>295</v>
      </c>
      <c r="K45" s="17" t="s">
        <v>37</v>
      </c>
      <c r="L45" s="17" t="s">
        <v>73</v>
      </c>
      <c r="M45" s="13" t="s">
        <v>120</v>
      </c>
    </row>
    <row r="46" customFormat="false" ht="45" hidden="false" customHeight="true" outlineLevel="0" collapsed="false">
      <c r="B46" s="17" t="n">
        <v>40</v>
      </c>
      <c r="C46" s="17" t="s">
        <v>279</v>
      </c>
      <c r="D46" s="17" t="s">
        <v>296</v>
      </c>
      <c r="E46" s="13" t="s">
        <v>297</v>
      </c>
      <c r="F46" s="13" t="s">
        <v>298</v>
      </c>
      <c r="G46" s="13" t="s">
        <v>299</v>
      </c>
      <c r="H46" s="13" t="s">
        <v>79</v>
      </c>
      <c r="I46" s="17" t="s">
        <v>23</v>
      </c>
      <c r="J46" s="17" t="s">
        <v>300</v>
      </c>
      <c r="K46" s="17" t="s">
        <v>36</v>
      </c>
      <c r="L46" s="17" t="s">
        <v>73</v>
      </c>
      <c r="M46" s="13" t="s">
        <v>87</v>
      </c>
    </row>
    <row r="47" customFormat="false" ht="45" hidden="false" customHeight="true" outlineLevel="0" collapsed="false">
      <c r="B47" s="17" t="n">
        <v>41</v>
      </c>
      <c r="C47" s="17" t="s">
        <v>279</v>
      </c>
      <c r="D47" s="17" t="s">
        <v>301</v>
      </c>
      <c r="E47" s="13" t="s">
        <v>302</v>
      </c>
      <c r="F47" s="13" t="s">
        <v>303</v>
      </c>
      <c r="G47" s="13" t="s">
        <v>304</v>
      </c>
      <c r="H47" s="13" t="s">
        <v>92</v>
      </c>
      <c r="I47" s="17" t="s">
        <v>21</v>
      </c>
      <c r="J47" s="17" t="s">
        <v>305</v>
      </c>
      <c r="K47" s="17" t="s">
        <v>37</v>
      </c>
      <c r="L47" s="17" t="s">
        <v>73</v>
      </c>
      <c r="M47" s="13" t="s">
        <v>306</v>
      </c>
    </row>
    <row r="48" customFormat="false" ht="45" hidden="false" customHeight="true" outlineLevel="0" collapsed="false">
      <c r="B48" s="17" t="n">
        <v>42</v>
      </c>
      <c r="C48" s="17" t="s">
        <v>279</v>
      </c>
      <c r="D48" s="17" t="s">
        <v>307</v>
      </c>
      <c r="E48" s="13" t="s">
        <v>308</v>
      </c>
      <c r="F48" s="13" t="s">
        <v>309</v>
      </c>
      <c r="G48" s="13" t="s">
        <v>310</v>
      </c>
      <c r="H48" s="13" t="s">
        <v>132</v>
      </c>
      <c r="I48" s="17" t="s">
        <v>23</v>
      </c>
      <c r="J48" s="17" t="s">
        <v>311</v>
      </c>
      <c r="K48" s="17" t="s">
        <v>36</v>
      </c>
      <c r="L48" s="17" t="s">
        <v>73</v>
      </c>
      <c r="M48" s="13" t="s">
        <v>140</v>
      </c>
    </row>
    <row r="49" customFormat="false" ht="45" hidden="false" customHeight="true" outlineLevel="0" collapsed="false">
      <c r="B49" s="17" t="n">
        <v>43</v>
      </c>
      <c r="C49" s="17" t="s">
        <v>279</v>
      </c>
      <c r="D49" s="17" t="s">
        <v>312</v>
      </c>
      <c r="E49" s="13" t="s">
        <v>313</v>
      </c>
      <c r="F49" s="13" t="s">
        <v>130</v>
      </c>
      <c r="G49" s="13" t="s">
        <v>314</v>
      </c>
      <c r="H49" s="13" t="s">
        <v>132</v>
      </c>
      <c r="I49" s="17" t="s">
        <v>21</v>
      </c>
      <c r="J49" s="17" t="s">
        <v>315</v>
      </c>
      <c r="K49" s="17" t="s">
        <v>37</v>
      </c>
      <c r="L49" s="17" t="s">
        <v>73</v>
      </c>
      <c r="M49" s="13" t="s">
        <v>134</v>
      </c>
    </row>
    <row r="50" customFormat="false" ht="45" hidden="false" customHeight="true" outlineLevel="0" collapsed="false">
      <c r="B50" s="17" t="n">
        <v>44</v>
      </c>
      <c r="C50" s="17" t="s">
        <v>279</v>
      </c>
      <c r="D50" s="17" t="s">
        <v>316</v>
      </c>
      <c r="E50" s="13" t="s">
        <v>317</v>
      </c>
      <c r="F50" s="13" t="s">
        <v>318</v>
      </c>
      <c r="G50" s="13" t="s">
        <v>319</v>
      </c>
      <c r="H50" s="13" t="s">
        <v>92</v>
      </c>
      <c r="I50" s="17" t="s">
        <v>21</v>
      </c>
      <c r="J50" s="17" t="s">
        <v>320</v>
      </c>
      <c r="K50" s="17" t="s">
        <v>37</v>
      </c>
      <c r="L50" s="17" t="s">
        <v>73</v>
      </c>
      <c r="M50" s="13" t="s">
        <v>321</v>
      </c>
    </row>
    <row r="51" customFormat="false" ht="45" hidden="false" customHeight="true" outlineLevel="0" collapsed="false">
      <c r="B51" s="17" t="n">
        <v>45</v>
      </c>
      <c r="C51" s="17" t="s">
        <v>279</v>
      </c>
      <c r="D51" s="17" t="s">
        <v>322</v>
      </c>
      <c r="E51" s="13" t="s">
        <v>323</v>
      </c>
      <c r="F51" s="13" t="s">
        <v>324</v>
      </c>
      <c r="G51" s="13" t="s">
        <v>325</v>
      </c>
      <c r="H51" s="13" t="s">
        <v>92</v>
      </c>
      <c r="I51" s="17" t="s">
        <v>32</v>
      </c>
      <c r="J51" s="17" t="s">
        <v>326</v>
      </c>
      <c r="K51" s="17" t="s">
        <v>36</v>
      </c>
      <c r="L51" s="17" t="s">
        <v>73</v>
      </c>
      <c r="M51" s="13" t="s">
        <v>327</v>
      </c>
    </row>
    <row r="52" customFormat="false" ht="45" hidden="false" customHeight="true" outlineLevel="0" collapsed="false">
      <c r="B52" s="17" t="n">
        <v>46</v>
      </c>
      <c r="C52" s="17" t="s">
        <v>279</v>
      </c>
      <c r="D52" s="17" t="s">
        <v>328</v>
      </c>
      <c r="E52" s="13" t="s">
        <v>329</v>
      </c>
      <c r="F52" s="13" t="s">
        <v>330</v>
      </c>
      <c r="G52" s="13" t="s">
        <v>331</v>
      </c>
      <c r="H52" s="13" t="s">
        <v>92</v>
      </c>
      <c r="I52" s="17" t="s">
        <v>25</v>
      </c>
      <c r="J52" s="17" t="s">
        <v>332</v>
      </c>
      <c r="K52" s="17" t="s">
        <v>36</v>
      </c>
      <c r="L52" s="17" t="s">
        <v>73</v>
      </c>
      <c r="M52" s="13" t="s">
        <v>333</v>
      </c>
    </row>
  </sheetData>
  <autoFilter ref="B6:M52"/>
  <mergeCells count="2">
    <mergeCell ref="B2:M2"/>
    <mergeCell ref="B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8" min="4" style="0" width="14"/>
    <col collapsed="false" customWidth="true" hidden="false" outlineLevel="0" max="9" min="9" style="0" width="50"/>
  </cols>
  <sheetData>
    <row r="2" customFormat="false" ht="30" hidden="false" customHeight="true" outlineLevel="0" collapsed="false">
      <c r="B2" s="1" t="s">
        <v>334</v>
      </c>
      <c r="C2" s="1"/>
      <c r="D2" s="1"/>
      <c r="E2" s="1"/>
      <c r="F2" s="1"/>
      <c r="G2" s="1"/>
      <c r="H2" s="1"/>
      <c r="I2" s="1"/>
    </row>
    <row r="4" customFormat="false" ht="17.35" hidden="false" customHeight="false" outlineLevel="0" collapsed="false">
      <c r="B4" s="2" t="s">
        <v>335</v>
      </c>
      <c r="C4" s="2"/>
      <c r="D4" s="2"/>
      <c r="E4" s="2"/>
      <c r="F4" s="2"/>
      <c r="G4" s="2"/>
      <c r="H4" s="2"/>
      <c r="I4" s="2"/>
    </row>
    <row r="5" customFormat="false" ht="15" hidden="false" customHeight="true" outlineLevel="0" collapsed="false">
      <c r="B5" s="18" t="s">
        <v>336</v>
      </c>
      <c r="C5" s="18"/>
      <c r="D5" s="18"/>
      <c r="E5" s="18"/>
      <c r="F5" s="18"/>
      <c r="G5" s="18"/>
      <c r="H5" s="18"/>
      <c r="I5" s="18"/>
    </row>
    <row r="7" customFormat="false" ht="31.5" hidden="false" customHeight="true" outlineLevel="0" collapsed="false">
      <c r="B7" s="5" t="s">
        <v>4</v>
      </c>
      <c r="C7" s="5" t="s">
        <v>337</v>
      </c>
      <c r="D7" s="5" t="s">
        <v>338</v>
      </c>
      <c r="E7" s="5" t="s">
        <v>339</v>
      </c>
      <c r="F7" s="5" t="s">
        <v>340</v>
      </c>
      <c r="G7" s="5" t="s">
        <v>341</v>
      </c>
      <c r="H7" s="5" t="s">
        <v>342</v>
      </c>
      <c r="I7" s="5" t="s">
        <v>343</v>
      </c>
    </row>
    <row r="8" customFormat="false" ht="27.75" hidden="false" customHeight="true" outlineLevel="0" collapsed="false">
      <c r="B8" s="13" t="s">
        <v>344</v>
      </c>
      <c r="C8" s="13" t="s">
        <v>345</v>
      </c>
      <c r="D8" s="19" t="s">
        <v>346</v>
      </c>
      <c r="E8" s="20" t="s">
        <v>347</v>
      </c>
      <c r="F8" s="19" t="s">
        <v>346</v>
      </c>
      <c r="G8" s="19" t="s">
        <v>346</v>
      </c>
      <c r="H8" s="19" t="s">
        <v>346</v>
      </c>
      <c r="I8" s="13" t="s">
        <v>348</v>
      </c>
    </row>
    <row r="9" customFormat="false" ht="27.75" hidden="false" customHeight="true" outlineLevel="0" collapsed="false">
      <c r="B9" s="13" t="s">
        <v>344</v>
      </c>
      <c r="C9" s="13" t="s">
        <v>349</v>
      </c>
      <c r="D9" s="19" t="s">
        <v>346</v>
      </c>
      <c r="E9" s="21" t="s">
        <v>350</v>
      </c>
      <c r="F9" s="19" t="s">
        <v>346</v>
      </c>
      <c r="G9" s="19" t="s">
        <v>346</v>
      </c>
      <c r="H9" s="19" t="s">
        <v>346</v>
      </c>
      <c r="I9" s="13" t="s">
        <v>351</v>
      </c>
    </row>
    <row r="10" customFormat="false" ht="27.75" hidden="false" customHeight="true" outlineLevel="0" collapsed="false">
      <c r="B10" s="13" t="s">
        <v>344</v>
      </c>
      <c r="C10" s="13" t="s">
        <v>352</v>
      </c>
      <c r="D10" s="19" t="s">
        <v>346</v>
      </c>
      <c r="E10" s="21" t="s">
        <v>350</v>
      </c>
      <c r="F10" s="19" t="s">
        <v>346</v>
      </c>
      <c r="G10" s="19" t="s">
        <v>346</v>
      </c>
      <c r="H10" s="19" t="s">
        <v>346</v>
      </c>
      <c r="I10" s="13" t="s">
        <v>353</v>
      </c>
    </row>
    <row r="11" customFormat="false" ht="27.75" hidden="false" customHeight="true" outlineLevel="0" collapsed="false">
      <c r="B11" s="13" t="s">
        <v>344</v>
      </c>
      <c r="C11" s="13" t="s">
        <v>354</v>
      </c>
      <c r="D11" s="21" t="s">
        <v>350</v>
      </c>
      <c r="E11" s="19" t="s">
        <v>346</v>
      </c>
      <c r="F11" s="19" t="s">
        <v>346</v>
      </c>
      <c r="G11" s="20" t="s">
        <v>347</v>
      </c>
      <c r="H11" s="19" t="s">
        <v>346</v>
      </c>
      <c r="I11" s="13" t="s">
        <v>355</v>
      </c>
    </row>
    <row r="12" customFormat="false" ht="27.75" hidden="false" customHeight="true" outlineLevel="0" collapsed="false">
      <c r="B12" s="13" t="s">
        <v>344</v>
      </c>
      <c r="C12" s="13" t="s">
        <v>110</v>
      </c>
      <c r="D12" s="19" t="s">
        <v>346</v>
      </c>
      <c r="E12" s="19" t="s">
        <v>346</v>
      </c>
      <c r="F12" s="19" t="s">
        <v>346</v>
      </c>
      <c r="G12" s="20" t="s">
        <v>347</v>
      </c>
      <c r="H12" s="19" t="s">
        <v>346</v>
      </c>
      <c r="I12" s="13" t="s">
        <v>356</v>
      </c>
    </row>
    <row r="13" customFormat="false" ht="27.75" hidden="false" customHeight="true" outlineLevel="0" collapsed="false">
      <c r="B13" s="13" t="s">
        <v>344</v>
      </c>
      <c r="C13" s="13" t="s">
        <v>142</v>
      </c>
      <c r="D13" s="19" t="s">
        <v>346</v>
      </c>
      <c r="E13" s="21" t="s">
        <v>350</v>
      </c>
      <c r="F13" s="19" t="s">
        <v>346</v>
      </c>
      <c r="G13" s="19" t="s">
        <v>346</v>
      </c>
      <c r="H13" s="19" t="s">
        <v>346</v>
      </c>
      <c r="I13" s="13" t="s">
        <v>357</v>
      </c>
    </row>
    <row r="14" customFormat="false" ht="27.75" hidden="false" customHeight="true" outlineLevel="0" collapsed="false">
      <c r="B14" s="13" t="s">
        <v>344</v>
      </c>
      <c r="C14" s="13" t="s">
        <v>358</v>
      </c>
      <c r="D14" s="19" t="s">
        <v>346</v>
      </c>
      <c r="E14" s="20" t="s">
        <v>347</v>
      </c>
      <c r="F14" s="19" t="s">
        <v>346</v>
      </c>
      <c r="G14" s="19" t="s">
        <v>346</v>
      </c>
      <c r="H14" s="19" t="s">
        <v>346</v>
      </c>
      <c r="I14" s="13" t="s">
        <v>359</v>
      </c>
    </row>
    <row r="15" customFormat="false" ht="27.75" hidden="false" customHeight="true" outlineLevel="0" collapsed="false">
      <c r="B15" s="13" t="s">
        <v>344</v>
      </c>
      <c r="C15" s="13" t="s">
        <v>360</v>
      </c>
      <c r="D15" s="19" t="s">
        <v>346</v>
      </c>
      <c r="E15" s="19" t="s">
        <v>346</v>
      </c>
      <c r="F15" s="19" t="s">
        <v>346</v>
      </c>
      <c r="G15" s="19" t="s">
        <v>346</v>
      </c>
      <c r="H15" s="19" t="s">
        <v>346</v>
      </c>
      <c r="I15" s="13" t="s">
        <v>361</v>
      </c>
    </row>
    <row r="16" customFormat="false" ht="27.75" hidden="false" customHeight="true" outlineLevel="0" collapsed="false">
      <c r="B16" s="13" t="s">
        <v>362</v>
      </c>
      <c r="C16" s="13" t="s">
        <v>363</v>
      </c>
      <c r="D16" s="19" t="s">
        <v>346</v>
      </c>
      <c r="E16" s="19" t="s">
        <v>346</v>
      </c>
      <c r="F16" s="19" t="s">
        <v>346</v>
      </c>
      <c r="G16" s="19" t="s">
        <v>346</v>
      </c>
      <c r="H16" s="19" t="s">
        <v>346</v>
      </c>
      <c r="I16" s="13" t="s">
        <v>364</v>
      </c>
    </row>
    <row r="17" customFormat="false" ht="27.75" hidden="false" customHeight="true" outlineLevel="0" collapsed="false">
      <c r="B17" s="13" t="s">
        <v>362</v>
      </c>
      <c r="C17" s="13" t="s">
        <v>365</v>
      </c>
      <c r="D17" s="19" t="s">
        <v>346</v>
      </c>
      <c r="E17" s="19" t="s">
        <v>346</v>
      </c>
      <c r="F17" s="19" t="s">
        <v>346</v>
      </c>
      <c r="G17" s="19" t="s">
        <v>346</v>
      </c>
      <c r="H17" s="19" t="s">
        <v>346</v>
      </c>
      <c r="I17" s="13" t="s">
        <v>366</v>
      </c>
    </row>
    <row r="18" customFormat="false" ht="27.75" hidden="false" customHeight="true" outlineLevel="0" collapsed="false">
      <c r="B18" s="13" t="s">
        <v>362</v>
      </c>
      <c r="C18" s="13" t="s">
        <v>367</v>
      </c>
      <c r="D18" s="19" t="s">
        <v>346</v>
      </c>
      <c r="E18" s="19" t="s">
        <v>346</v>
      </c>
      <c r="F18" s="19" t="s">
        <v>346</v>
      </c>
      <c r="G18" s="20" t="s">
        <v>347</v>
      </c>
      <c r="H18" s="19" t="s">
        <v>346</v>
      </c>
      <c r="I18" s="13" t="s">
        <v>368</v>
      </c>
    </row>
    <row r="19" customFormat="false" ht="27.75" hidden="false" customHeight="true" outlineLevel="0" collapsed="false">
      <c r="B19" s="13" t="s">
        <v>362</v>
      </c>
      <c r="C19" s="13" t="s">
        <v>369</v>
      </c>
      <c r="D19" s="19" t="s">
        <v>346</v>
      </c>
      <c r="E19" s="20" t="s">
        <v>347</v>
      </c>
      <c r="F19" s="19" t="s">
        <v>346</v>
      </c>
      <c r="G19" s="21" t="s">
        <v>350</v>
      </c>
      <c r="H19" s="19" t="s">
        <v>346</v>
      </c>
      <c r="I19" s="13" t="s">
        <v>370</v>
      </c>
    </row>
    <row r="20" customFormat="false" ht="27.75" hidden="false" customHeight="true" outlineLevel="0" collapsed="false">
      <c r="B20" s="13" t="s">
        <v>362</v>
      </c>
      <c r="C20" s="13" t="s">
        <v>371</v>
      </c>
      <c r="D20" s="20" t="s">
        <v>347</v>
      </c>
      <c r="E20" s="19" t="s">
        <v>346</v>
      </c>
      <c r="F20" s="19" t="s">
        <v>346</v>
      </c>
      <c r="G20" s="20" t="s">
        <v>347</v>
      </c>
      <c r="H20" s="19" t="s">
        <v>346</v>
      </c>
      <c r="I20" s="13" t="s">
        <v>372</v>
      </c>
    </row>
    <row r="21" customFormat="false" ht="27.75" hidden="false" customHeight="true" outlineLevel="0" collapsed="false">
      <c r="B21" s="13" t="s">
        <v>373</v>
      </c>
      <c r="C21" s="13" t="s">
        <v>374</v>
      </c>
      <c r="D21" s="19" t="s">
        <v>346</v>
      </c>
      <c r="E21" s="19" t="s">
        <v>346</v>
      </c>
      <c r="F21" s="19" t="s">
        <v>346</v>
      </c>
      <c r="G21" s="19" t="s">
        <v>346</v>
      </c>
      <c r="H21" s="19" t="s">
        <v>346</v>
      </c>
      <c r="I21" s="13" t="s">
        <v>375</v>
      </c>
    </row>
    <row r="22" customFormat="false" ht="27.75" hidden="false" customHeight="true" outlineLevel="0" collapsed="false">
      <c r="B22" s="13" t="s">
        <v>373</v>
      </c>
      <c r="C22" s="13" t="s">
        <v>203</v>
      </c>
      <c r="D22" s="19" t="s">
        <v>346</v>
      </c>
      <c r="E22" s="21" t="s">
        <v>350</v>
      </c>
      <c r="F22" s="19" t="s">
        <v>346</v>
      </c>
      <c r="G22" s="19" t="s">
        <v>346</v>
      </c>
      <c r="H22" s="19" t="s">
        <v>346</v>
      </c>
      <c r="I22" s="13" t="s">
        <v>376</v>
      </c>
    </row>
    <row r="23" customFormat="false" ht="27.75" hidden="false" customHeight="true" outlineLevel="0" collapsed="false">
      <c r="B23" s="13" t="s">
        <v>373</v>
      </c>
      <c r="C23" s="13" t="s">
        <v>377</v>
      </c>
      <c r="D23" s="20" t="s">
        <v>347</v>
      </c>
      <c r="E23" s="21" t="s">
        <v>350</v>
      </c>
      <c r="F23" s="20" t="s">
        <v>347</v>
      </c>
      <c r="G23" s="19" t="s">
        <v>346</v>
      </c>
      <c r="H23" s="21" t="s">
        <v>350</v>
      </c>
      <c r="I23" s="13" t="s">
        <v>378</v>
      </c>
    </row>
    <row r="24" customFormat="false" ht="27.75" hidden="false" customHeight="true" outlineLevel="0" collapsed="false">
      <c r="B24" s="13" t="s">
        <v>373</v>
      </c>
      <c r="C24" s="13" t="s">
        <v>215</v>
      </c>
      <c r="D24" s="19" t="s">
        <v>346</v>
      </c>
      <c r="E24" s="20" t="s">
        <v>347</v>
      </c>
      <c r="F24" s="19" t="s">
        <v>346</v>
      </c>
      <c r="G24" s="19" t="s">
        <v>346</v>
      </c>
      <c r="H24" s="19" t="s">
        <v>346</v>
      </c>
      <c r="I24" s="13" t="s">
        <v>379</v>
      </c>
    </row>
    <row r="25" customFormat="false" ht="27.75" hidden="false" customHeight="true" outlineLevel="0" collapsed="false">
      <c r="B25" s="13" t="s">
        <v>373</v>
      </c>
      <c r="C25" s="13" t="s">
        <v>380</v>
      </c>
      <c r="D25" s="20" t="s">
        <v>347</v>
      </c>
      <c r="E25" s="21" t="s">
        <v>350</v>
      </c>
      <c r="F25" s="20" t="s">
        <v>347</v>
      </c>
      <c r="G25" s="19" t="s">
        <v>346</v>
      </c>
      <c r="H25" s="20" t="s">
        <v>347</v>
      </c>
      <c r="I25" s="13" t="s">
        <v>381</v>
      </c>
    </row>
    <row r="26" customFormat="false" ht="27.75" hidden="false" customHeight="true" outlineLevel="0" collapsed="false">
      <c r="B26" s="13" t="s">
        <v>373</v>
      </c>
      <c r="C26" s="13" t="s">
        <v>382</v>
      </c>
      <c r="D26" s="19" t="s">
        <v>346</v>
      </c>
      <c r="E26" s="21" t="s">
        <v>350</v>
      </c>
      <c r="F26" s="19" t="s">
        <v>346</v>
      </c>
      <c r="G26" s="19" t="s">
        <v>346</v>
      </c>
      <c r="H26" s="19" t="s">
        <v>346</v>
      </c>
      <c r="I26" s="13" t="s">
        <v>383</v>
      </c>
    </row>
    <row r="27" customFormat="false" ht="27.75" hidden="false" customHeight="true" outlineLevel="0" collapsed="false">
      <c r="B27" s="13" t="s">
        <v>373</v>
      </c>
      <c r="C27" s="13" t="s">
        <v>384</v>
      </c>
      <c r="D27" s="19" t="s">
        <v>346</v>
      </c>
      <c r="E27" s="19" t="s">
        <v>346</v>
      </c>
      <c r="F27" s="19" t="s">
        <v>346</v>
      </c>
      <c r="G27" s="19" t="s">
        <v>346</v>
      </c>
      <c r="H27" s="19" t="s">
        <v>346</v>
      </c>
      <c r="I27" s="13" t="s">
        <v>385</v>
      </c>
    </row>
    <row r="28" customFormat="false" ht="27.75" hidden="false" customHeight="true" outlineLevel="0" collapsed="false">
      <c r="B28" s="13" t="s">
        <v>373</v>
      </c>
      <c r="C28" s="13" t="s">
        <v>386</v>
      </c>
      <c r="D28" s="19" t="s">
        <v>346</v>
      </c>
      <c r="E28" s="19" t="s">
        <v>346</v>
      </c>
      <c r="F28" s="19" t="s">
        <v>346</v>
      </c>
      <c r="G28" s="19" t="s">
        <v>346</v>
      </c>
      <c r="H28" s="19" t="s">
        <v>346</v>
      </c>
      <c r="I28" s="13" t="s">
        <v>387</v>
      </c>
    </row>
    <row r="29" customFormat="false" ht="27.75" hidden="false" customHeight="true" outlineLevel="0" collapsed="false">
      <c r="B29" s="13" t="s">
        <v>388</v>
      </c>
      <c r="C29" s="13" t="s">
        <v>389</v>
      </c>
      <c r="D29" s="22" t="s">
        <v>390</v>
      </c>
      <c r="E29" s="22" t="s">
        <v>390</v>
      </c>
      <c r="F29" s="22" t="s">
        <v>390</v>
      </c>
      <c r="G29" s="22" t="s">
        <v>390</v>
      </c>
      <c r="H29" s="22" t="s">
        <v>390</v>
      </c>
      <c r="I29" s="13" t="s">
        <v>391</v>
      </c>
    </row>
    <row r="30" customFormat="false" ht="27.75" hidden="false" customHeight="true" outlineLevel="0" collapsed="false">
      <c r="B30" s="13" t="s">
        <v>388</v>
      </c>
      <c r="C30" s="13" t="s">
        <v>392</v>
      </c>
      <c r="D30" s="19" t="s">
        <v>346</v>
      </c>
      <c r="E30" s="19" t="s">
        <v>346</v>
      </c>
      <c r="F30" s="19" t="s">
        <v>346</v>
      </c>
      <c r="G30" s="19" t="s">
        <v>346</v>
      </c>
      <c r="H30" s="19" t="s">
        <v>346</v>
      </c>
      <c r="I30" s="13" t="s">
        <v>393</v>
      </c>
    </row>
    <row r="31" customFormat="false" ht="27.75" hidden="false" customHeight="true" outlineLevel="0" collapsed="false">
      <c r="B31" s="13" t="s">
        <v>388</v>
      </c>
      <c r="C31" s="13" t="s">
        <v>257</v>
      </c>
      <c r="D31" s="19" t="s">
        <v>346</v>
      </c>
      <c r="E31" s="21" t="s">
        <v>350</v>
      </c>
      <c r="F31" s="19" t="s">
        <v>346</v>
      </c>
      <c r="G31" s="19" t="s">
        <v>346</v>
      </c>
      <c r="H31" s="19" t="s">
        <v>346</v>
      </c>
      <c r="I31" s="13" t="s">
        <v>394</v>
      </c>
    </row>
    <row r="32" customFormat="false" ht="27.75" hidden="false" customHeight="true" outlineLevel="0" collapsed="false">
      <c r="B32" s="13" t="s">
        <v>388</v>
      </c>
      <c r="C32" s="13" t="s">
        <v>395</v>
      </c>
      <c r="D32" s="19" t="s">
        <v>346</v>
      </c>
      <c r="E32" s="19" t="s">
        <v>346</v>
      </c>
      <c r="F32" s="19" t="s">
        <v>346</v>
      </c>
      <c r="G32" s="19" t="s">
        <v>346</v>
      </c>
      <c r="H32" s="19" t="s">
        <v>346</v>
      </c>
      <c r="I32" s="13" t="s">
        <v>396</v>
      </c>
    </row>
    <row r="33" customFormat="false" ht="27.75" hidden="false" customHeight="true" outlineLevel="0" collapsed="false">
      <c r="B33" s="13" t="s">
        <v>397</v>
      </c>
      <c r="C33" s="13" t="s">
        <v>398</v>
      </c>
      <c r="D33" s="19" t="s">
        <v>346</v>
      </c>
      <c r="E33" s="19" t="s">
        <v>346</v>
      </c>
      <c r="F33" s="19" t="s">
        <v>346</v>
      </c>
      <c r="G33" s="19" t="s">
        <v>346</v>
      </c>
      <c r="H33" s="19" t="s">
        <v>346</v>
      </c>
      <c r="I33" s="13" t="s">
        <v>399</v>
      </c>
    </row>
    <row r="34" customFormat="false" ht="27.75" hidden="false" customHeight="true" outlineLevel="0" collapsed="false">
      <c r="B34" s="13" t="s">
        <v>397</v>
      </c>
      <c r="C34" s="13" t="s">
        <v>400</v>
      </c>
      <c r="D34" s="19" t="s">
        <v>346</v>
      </c>
      <c r="E34" s="20" t="s">
        <v>347</v>
      </c>
      <c r="F34" s="19" t="s">
        <v>346</v>
      </c>
      <c r="G34" s="19" t="s">
        <v>346</v>
      </c>
      <c r="H34" s="19" t="s">
        <v>346</v>
      </c>
      <c r="I34" s="13" t="s">
        <v>401</v>
      </c>
    </row>
    <row r="35" customFormat="false" ht="27.75" hidden="false" customHeight="true" outlineLevel="0" collapsed="false">
      <c r="B35" s="13" t="s">
        <v>397</v>
      </c>
      <c r="C35" s="13" t="s">
        <v>297</v>
      </c>
      <c r="D35" s="19" t="s">
        <v>346</v>
      </c>
      <c r="E35" s="21" t="s">
        <v>350</v>
      </c>
      <c r="F35" s="19" t="s">
        <v>346</v>
      </c>
      <c r="G35" s="20" t="s">
        <v>347</v>
      </c>
      <c r="H35" s="19" t="s">
        <v>346</v>
      </c>
      <c r="I35" s="13" t="s">
        <v>402</v>
      </c>
    </row>
    <row r="36" customFormat="false" ht="27.75" hidden="false" customHeight="true" outlineLevel="0" collapsed="false">
      <c r="B36" s="13" t="s">
        <v>397</v>
      </c>
      <c r="C36" s="13" t="s">
        <v>403</v>
      </c>
      <c r="D36" s="19" t="s">
        <v>346</v>
      </c>
      <c r="E36" s="19" t="s">
        <v>346</v>
      </c>
      <c r="F36" s="19" t="s">
        <v>346</v>
      </c>
      <c r="G36" s="19" t="s">
        <v>346</v>
      </c>
      <c r="H36" s="19" t="s">
        <v>346</v>
      </c>
      <c r="I36" s="13" t="s">
        <v>404</v>
      </c>
    </row>
    <row r="37" customFormat="false" ht="27.75" hidden="false" customHeight="true" outlineLevel="0" collapsed="false">
      <c r="B37" s="13" t="s">
        <v>397</v>
      </c>
      <c r="C37" s="13" t="s">
        <v>313</v>
      </c>
      <c r="D37" s="21" t="s">
        <v>350</v>
      </c>
      <c r="E37" s="19" t="s">
        <v>346</v>
      </c>
      <c r="F37" s="19" t="s">
        <v>346</v>
      </c>
      <c r="G37" s="20" t="s">
        <v>347</v>
      </c>
      <c r="H37" s="19" t="s">
        <v>346</v>
      </c>
      <c r="I37" s="13" t="s">
        <v>405</v>
      </c>
    </row>
  </sheetData>
  <mergeCells count="3">
    <mergeCell ref="B2:I2"/>
    <mergeCell ref="B4:I4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1.75" hidden="false" customHeight="true" outlineLevel="0" collapsed="false">
      <c r="B2" s="23" t="s">
        <v>406</v>
      </c>
    </row>
    <row r="4" customFormat="false" ht="17.35" hidden="false" customHeight="false" outlineLevel="0" collapsed="false">
      <c r="B4" s="24" t="s">
        <v>407</v>
      </c>
    </row>
    <row r="6" customFormat="false" ht="21.75" hidden="false" customHeight="true" outlineLevel="0" collapsed="false">
      <c r="B6" s="25" t="s">
        <v>408</v>
      </c>
    </row>
    <row r="7" customFormat="false" ht="96" hidden="false" customHeight="true" outlineLevel="0" collapsed="false">
      <c r="B7" s="26" t="s">
        <v>409</v>
      </c>
    </row>
    <row r="9" customFormat="false" ht="21.75" hidden="false" customHeight="true" outlineLevel="0" collapsed="false">
      <c r="B9" s="25" t="s">
        <v>410</v>
      </c>
    </row>
    <row r="10" customFormat="false" ht="59.25" hidden="false" customHeight="true" outlineLevel="0" collapsed="false">
      <c r="B10" s="26" t="s">
        <v>411</v>
      </c>
    </row>
    <row r="12" customFormat="false" ht="21.75" hidden="false" customHeight="true" outlineLevel="0" collapsed="false">
      <c r="B12" s="25" t="s">
        <v>412</v>
      </c>
    </row>
    <row r="13" customFormat="false" ht="110.25" hidden="false" customHeight="true" outlineLevel="0" collapsed="false">
      <c r="B13" s="26" t="s">
        <v>413</v>
      </c>
    </row>
    <row r="15" customFormat="false" ht="21.75" hidden="false" customHeight="true" outlineLevel="0" collapsed="false">
      <c r="B15" s="25" t="s">
        <v>414</v>
      </c>
    </row>
    <row r="16" customFormat="false" ht="111" hidden="false" customHeight="true" outlineLevel="0" collapsed="false">
      <c r="B16" s="26" t="s">
        <v>415</v>
      </c>
    </row>
    <row r="18" customFormat="false" ht="21.75" hidden="false" customHeight="true" outlineLevel="0" collapsed="false">
      <c r="B18" s="25" t="s">
        <v>416</v>
      </c>
    </row>
    <row r="19" customFormat="false" ht="67.5" hidden="false" customHeight="true" outlineLevel="0" collapsed="false">
      <c r="B19" s="26" t="s">
        <v>417</v>
      </c>
    </row>
    <row r="21" customFormat="false" ht="21.75" hidden="false" customHeight="true" outlineLevel="0" collapsed="false">
      <c r="B21" s="25" t="s">
        <v>418</v>
      </c>
    </row>
    <row r="22" customFormat="false" ht="63.75" hidden="false" customHeight="true" outlineLevel="0" collapsed="false">
      <c r="B22" s="26" t="s">
        <v>419</v>
      </c>
    </row>
    <row r="24" customFormat="false" ht="21.75" hidden="false" customHeight="true" outlineLevel="0" collapsed="false">
      <c r="B24" s="25" t="s">
        <v>420</v>
      </c>
    </row>
    <row r="25" customFormat="false" ht="55.5" hidden="false" customHeight="true" outlineLevel="0" collapsed="false">
      <c r="B25" s="26" t="s">
        <v>421</v>
      </c>
    </row>
    <row r="27" customFormat="false" ht="21.75" hidden="false" customHeight="true" outlineLevel="0" collapsed="false">
      <c r="B27" s="25" t="s">
        <v>422</v>
      </c>
    </row>
    <row r="28" customFormat="false" ht="59.25" hidden="false" customHeight="true" outlineLevel="0" collapsed="false">
      <c r="B28" s="26" t="s">
        <v>423</v>
      </c>
    </row>
    <row r="30" customFormat="false" ht="21.75" hidden="false" customHeight="true" outlineLevel="0" collapsed="false">
      <c r="B30" s="25" t="s">
        <v>424</v>
      </c>
    </row>
    <row r="31" customFormat="false" ht="85.5" hidden="false" customHeight="true" outlineLevel="0" collapsed="false">
      <c r="B31" s="26" t="s">
        <v>425</v>
      </c>
    </row>
    <row r="33" customFormat="false" ht="21.75" hidden="false" customHeight="true" outlineLevel="0" collapsed="false">
      <c r="B33" s="25" t="s">
        <v>426</v>
      </c>
    </row>
    <row r="34" customFormat="false" ht="105.75" hidden="false" customHeight="true" outlineLevel="0" collapsed="false">
      <c r="B34" s="26" t="s">
        <v>427</v>
      </c>
    </row>
    <row r="36" customFormat="false" ht="21.75" hidden="false" customHeight="true" outlineLevel="0" collapsed="false">
      <c r="B36" s="25" t="s">
        <v>428</v>
      </c>
    </row>
    <row r="37" customFormat="false" ht="114.75" hidden="false" customHeight="true" outlineLevel="0" collapsed="false">
      <c r="B37" s="26" t="s">
        <v>429</v>
      </c>
    </row>
    <row r="39" customFormat="false" ht="21.75" hidden="false" customHeight="true" outlineLevel="0" collapsed="false">
      <c r="B39" s="25" t="s">
        <v>430</v>
      </c>
    </row>
    <row r="40" customFormat="false" ht="111" hidden="false" customHeight="true" outlineLevel="0" collapsed="false">
      <c r="B40" s="26" t="s">
        <v>431</v>
      </c>
    </row>
    <row r="42" customFormat="false" ht="21.75" hidden="false" customHeight="true" outlineLevel="0" collapsed="false">
      <c r="B42" s="25" t="s">
        <v>432</v>
      </c>
    </row>
    <row r="43" customFormat="false" ht="62.25" hidden="false" customHeight="true" outlineLevel="0" collapsed="false">
      <c r="B43" s="26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2026-06-23T06:16:47Z</dcterms:created>
  <dc:creator>openpyxl</dc:creator>
  <dc:description/>
  <dc:language>en-US</dc:language>
  <cp:lastModifiedBy/>
  <dcterms:modified xsi:type="dcterms:W3CDTF">2026-06-23T06:20:27Z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